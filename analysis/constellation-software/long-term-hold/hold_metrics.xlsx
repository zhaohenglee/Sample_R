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ok Through" sheetId="1" state="visible" r:id="rId1"/>
    <sheet name="Reinvestment Grid" sheetId="2" state="visible" r:id="rId2"/>
    <sheet name="Hold Grid 10yr" sheetId="3" state="visible" r:id="rId3"/>
    <sheet name="Ten Year History" sheetId="4" state="visible" r:id="rId4"/>
    <sheet name="Listed Subsidiaries" sheetId="5" state="visible" r:id="rId5"/>
    <sheet name="Concentration" sheetId="6" state="visible" r:id="rId6"/>
    <sheet name="Spot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22" customWidth="1" min="3" max="3"/>
    <col width="60" customWidth="1" min="4" max="4"/>
  </cols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Topicus economic interest pct</t>
        </is>
      </c>
      <c r="B2" t="n">
        <v>30.35</v>
      </c>
      <c r="C2" t="inlineStr">
        <is>
          <t>percent</t>
        </is>
      </c>
    </row>
    <row r="3">
      <c r="A3" t="inlineStr">
        <is>
          <t>Topicus market cap (native)</t>
        </is>
      </c>
      <c r="B3" t="n">
        <v>8390</v>
      </c>
      <c r="C3" t="inlineStr">
        <is>
          <t>CAD millions</t>
        </is>
      </c>
    </row>
    <row r="4">
      <c r="A4" t="inlineStr">
        <is>
          <t>Topicus look-through value (native)</t>
        </is>
      </c>
      <c r="B4">
        <f>B2/100*B3</f>
        <v/>
      </c>
      <c r="C4" t="inlineStr">
        <is>
          <t>CAD millions</t>
        </is>
      </c>
    </row>
    <row r="6">
      <c r="A6" t="inlineStr">
        <is>
          <t>Lumine economic interest pct</t>
        </is>
      </c>
      <c r="B6" t="n">
        <v>61.4</v>
      </c>
      <c r="C6" t="inlineStr">
        <is>
          <t>percent</t>
        </is>
      </c>
    </row>
    <row r="7">
      <c r="A7" t="inlineStr">
        <is>
          <t>Lumine market cap low (CAD millions)</t>
        </is>
      </c>
      <c r="B7" t="n">
        <v>5628</v>
      </c>
    </row>
    <row r="8">
      <c r="A8" t="inlineStr">
        <is>
          <t>Lumine market cap high (CAD millions)</t>
        </is>
      </c>
      <c r="B8" t="n">
        <v>6413</v>
      </c>
    </row>
    <row r="9">
      <c r="A9" t="inlineStr">
        <is>
          <t>Lumine look-through value low</t>
        </is>
      </c>
      <c r="B9">
        <f>B6/100*B7</f>
        <v/>
      </c>
    </row>
    <row r="10">
      <c r="A10" t="inlineStr">
        <is>
          <t>Lumine look-through value high</t>
        </is>
      </c>
      <c r="B10">
        <f>B6/100*B8</f>
        <v/>
      </c>
    </row>
    <row r="12">
      <c r="A12" t="inlineStr">
        <is>
          <t>CSU market cap (CAD, reported, 2026-09-08)</t>
        </is>
      </c>
      <c r="B12" t="n">
        <v>65183</v>
      </c>
      <c r="C12" t="inlineStr">
        <is>
          <t>CAD millions</t>
        </is>
      </c>
    </row>
    <row r="13">
      <c r="A13" t="inlineStr">
        <is>
          <t>CSU market cap (USD, 2026-09)</t>
        </is>
      </c>
      <c r="B13" t="n">
        <v>47950</v>
      </c>
      <c r="C13" t="inlineStr">
        <is>
          <t>USD millions</t>
        </is>
      </c>
    </row>
    <row r="14">
      <c r="A14" t="inlineStr">
        <is>
          <t>Implied private-groups value (reported CAD, Lumine low)</t>
        </is>
      </c>
      <c r="B14">
        <f>B12-B4-B9</f>
        <v/>
      </c>
    </row>
    <row r="15">
      <c r="A15" t="inlineStr">
        <is>
          <t>Implied private-groups value (reported CAD, Lumine high)</t>
        </is>
      </c>
      <c r="B15">
        <f>B12-B4-B10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g = reinvestment_rate x return_on_deployed_capital (identity, not a forecast)</t>
        </is>
      </c>
    </row>
    <row r="2">
      <c r="A2" t="inlineStr">
        <is>
          <t>Reinvestment rate -&gt;</t>
        </is>
      </c>
      <c r="B2" t="n">
        <v>0.5</v>
      </c>
      <c r="C2" t="n">
        <v>0.75</v>
      </c>
      <c r="D2" t="n">
        <v>1</v>
      </c>
      <c r="E2" t="n">
        <v>1.25</v>
      </c>
      <c r="F2" t="n">
        <v>1.5</v>
      </c>
    </row>
    <row r="3">
      <c r="A3" t="n">
        <v>0.08</v>
      </c>
      <c r="B3">
        <f>B2*A3</f>
        <v/>
      </c>
      <c r="C3">
        <f>C2*A3</f>
        <v/>
      </c>
      <c r="D3">
        <f>D2*A3</f>
        <v/>
      </c>
      <c r="E3">
        <f>E2*A3</f>
        <v/>
      </c>
      <c r="F3">
        <f>F2*A3</f>
        <v/>
      </c>
    </row>
    <row r="4">
      <c r="A4" t="n">
        <v>0.1</v>
      </c>
      <c r="B4">
        <f>B2*A4</f>
        <v/>
      </c>
      <c r="C4">
        <f>C2*A4</f>
        <v/>
      </c>
      <c r="D4">
        <f>D2*A4</f>
        <v/>
      </c>
      <c r="E4">
        <f>E2*A4</f>
        <v/>
      </c>
      <c r="F4">
        <f>F2*A4</f>
        <v/>
      </c>
    </row>
    <row r="5">
      <c r="A5" t="n">
        <v>0.12</v>
      </c>
      <c r="B5">
        <f>B2*A5</f>
        <v/>
      </c>
      <c r="C5">
        <f>C2*A5</f>
        <v/>
      </c>
      <c r="D5">
        <f>D2*A5</f>
        <v/>
      </c>
      <c r="E5">
        <f>E2*A5</f>
        <v/>
      </c>
      <c r="F5">
        <f>F2*A5</f>
        <v/>
      </c>
    </row>
    <row r="6">
      <c r="A6" t="n">
        <v>0.15</v>
      </c>
      <c r="B6">
        <f>B2*A6</f>
        <v/>
      </c>
      <c r="C6">
        <f>C2*A6</f>
        <v/>
      </c>
      <c r="D6">
        <f>D2*A6</f>
        <v/>
      </c>
      <c r="E6">
        <f>E2*A6</f>
        <v/>
      </c>
      <c r="F6">
        <f>F2*A6</f>
        <v/>
      </c>
    </row>
    <row r="7">
      <c r="A7" t="n">
        <v>0.2</v>
      </c>
      <c r="B7">
        <f>B2*A7</f>
        <v/>
      </c>
      <c r="C7">
        <f>C2*A7</f>
        <v/>
      </c>
      <c r="D7">
        <f>D2*A7</f>
        <v/>
      </c>
      <c r="E7">
        <f>E2*A7</f>
        <v/>
      </c>
      <c r="F7">
        <f>F2*A7</f>
        <v/>
      </c>
    </row>
    <row r="8">
      <c r="A8" t="n">
        <v>0.25</v>
      </c>
      <c r="B8">
        <f>B2*A8</f>
        <v/>
      </c>
      <c r="C8">
        <f>C2*A8</f>
        <v/>
      </c>
      <c r="D8">
        <f>D2*A8</f>
        <v/>
      </c>
      <c r="E8">
        <f>E2*A8</f>
        <v/>
      </c>
      <c r="F8">
        <f>F2*A8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4" customWidth="1" min="5" max="5"/>
    <col width="26" customWidth="1" min="6" max="6"/>
    <col width="30" customWidth="1" min="7" max="7"/>
  </cols>
  <sheetData>
    <row r="1">
      <c r="A1" t="inlineStr">
        <is>
          <t>Scenario</t>
        </is>
      </c>
      <c r="B1" t="inlineStr">
        <is>
          <t>Entry Price (USD)</t>
        </is>
      </c>
      <c r="C1" t="inlineStr">
        <is>
          <t>Base FCFA2S/sh</t>
        </is>
      </c>
      <c r="D1" t="inlineStr">
        <is>
          <t>Dividend/sh/yr</t>
        </is>
      </c>
      <c r="E1" t="inlineStr">
        <is>
          <t>N years</t>
        </is>
      </c>
    </row>
    <row r="2">
      <c r="A2" t="inlineStr">
        <is>
          <t>entry_usd_2262_86_first_report</t>
        </is>
      </c>
      <c r="B2" t="n">
        <v>2262.859839546956</v>
      </c>
      <c r="C2" t="n">
        <v>95.79990561585653</v>
      </c>
      <c r="D2" t="n">
        <v>4</v>
      </c>
      <c r="E2" t="n">
        <v>10</v>
      </c>
    </row>
    <row r="3">
      <c r="A3" t="inlineStr">
        <is>
          <t>entry_usd_2080_29_at_usdcad_1_3594</t>
        </is>
      </c>
      <c r="B3" t="n">
        <v>2080.285420038252</v>
      </c>
      <c r="C3" t="n">
        <v>95.79990561585653</v>
      </c>
      <c r="D3" t="n">
        <v>4</v>
      </c>
      <c r="E3" t="n">
        <v>10</v>
      </c>
    </row>
    <row r="5">
      <c r="A5" t="inlineStr">
        <is>
          <t>Scenario</t>
        </is>
      </c>
      <c r="B5" t="inlineStr">
        <is>
          <t>FCFA2S CAGR</t>
        </is>
      </c>
      <c r="C5" t="inlineStr">
        <is>
          <t>Exit Multiple</t>
        </is>
      </c>
      <c r="D5" t="inlineStr">
        <is>
          <t>Exit FCFA2S/sh</t>
        </is>
      </c>
      <c r="E5" t="inlineStr">
        <is>
          <t>Exit Value</t>
        </is>
      </c>
      <c r="F5" t="inlineStr">
        <is>
          <t>IRR (10yr, Python bisection)</t>
        </is>
      </c>
      <c r="G5" t="inlineStr">
        <is>
          <t>IRR (Excel RATE, live formula)</t>
        </is>
      </c>
    </row>
    <row r="6">
      <c r="A6" t="inlineStr">
        <is>
          <t>entry_usd_2262_86_first_report</t>
        </is>
      </c>
      <c r="B6" t="n">
        <v>0</v>
      </c>
      <c r="C6" t="n">
        <v>12</v>
      </c>
      <c r="D6" t="n">
        <v>95.79989999999999</v>
      </c>
      <c r="E6" t="n">
        <v>1149.6</v>
      </c>
      <c r="F6" t="n">
        <v>-0.06304</v>
      </c>
      <c r="G6">
        <f>RATE(10,4.0,-2262.8598395469558,E6)</f>
        <v/>
      </c>
    </row>
    <row r="7">
      <c r="A7" t="inlineStr">
        <is>
          <t>entry_usd_2262_86_first_report</t>
        </is>
      </c>
      <c r="B7" t="n">
        <v>0</v>
      </c>
      <c r="C7" t="n">
        <v>15</v>
      </c>
      <c r="D7" t="n">
        <v>95.79989999999999</v>
      </c>
      <c r="E7" t="n">
        <v>1437</v>
      </c>
      <c r="F7" t="n">
        <v>-0.042207</v>
      </c>
      <c r="G7">
        <f>RATE(10,4.0,-2262.8598395469558,E7)</f>
        <v/>
      </c>
    </row>
    <row r="8">
      <c r="A8" t="inlineStr">
        <is>
          <t>entry_usd_2262_86_first_report</t>
        </is>
      </c>
      <c r="B8" t="n">
        <v>0</v>
      </c>
      <c r="C8" t="n">
        <v>20</v>
      </c>
      <c r="D8" t="n">
        <v>95.79989999999999</v>
      </c>
      <c r="E8" t="n">
        <v>1916</v>
      </c>
      <c r="F8" t="n">
        <v>-0.014595</v>
      </c>
      <c r="G8">
        <f>RATE(10,4.0,-2262.8598395469558,E8)</f>
        <v/>
      </c>
    </row>
    <row r="9">
      <c r="A9" t="inlineStr">
        <is>
          <t>entry_usd_2262_86_first_report</t>
        </is>
      </c>
      <c r="B9" t="n">
        <v>0</v>
      </c>
      <c r="C9" t="n">
        <v>25</v>
      </c>
      <c r="D9" t="n">
        <v>95.79989999999999</v>
      </c>
      <c r="E9" t="n">
        <v>2395</v>
      </c>
      <c r="F9" t="n">
        <v>0.007415</v>
      </c>
      <c r="G9">
        <f>RATE(10,4.0,-2262.8598395469558,E9)</f>
        <v/>
      </c>
    </row>
    <row r="10">
      <c r="A10" t="inlineStr">
        <is>
          <t>entry_usd_2262_86_first_report</t>
        </is>
      </c>
      <c r="B10" t="n">
        <v>0</v>
      </c>
      <c r="C10" t="n">
        <v>30</v>
      </c>
      <c r="D10" t="n">
        <v>95.79989999999999</v>
      </c>
      <c r="E10" t="n">
        <v>2874</v>
      </c>
      <c r="F10" t="n">
        <v>0.025787</v>
      </c>
      <c r="G10">
        <f>RATE(10,4.0,-2262.8598395469558,E10)</f>
        <v/>
      </c>
    </row>
    <row r="11">
      <c r="A11" t="inlineStr">
        <is>
          <t>entry_usd_2262_86_first_report</t>
        </is>
      </c>
      <c r="B11" t="n">
        <v>0.04</v>
      </c>
      <c r="C11" t="n">
        <v>12</v>
      </c>
      <c r="D11" t="n">
        <v>141.8073</v>
      </c>
      <c r="E11" t="n">
        <v>1701.69</v>
      </c>
      <c r="F11" t="n">
        <v>-0.026083</v>
      </c>
      <c r="G11">
        <f>RATE(10,4.0,-2262.8598395469558,E11)</f>
        <v/>
      </c>
    </row>
    <row r="12">
      <c r="A12" t="inlineStr">
        <is>
          <t>entry_usd_2262_86_first_report</t>
        </is>
      </c>
      <c r="B12" t="n">
        <v>0.04</v>
      </c>
      <c r="C12" t="n">
        <v>15</v>
      </c>
      <c r="D12" t="n">
        <v>141.8073</v>
      </c>
      <c r="E12" t="n">
        <v>2127.11</v>
      </c>
      <c r="F12" t="n">
        <v>-0.00435</v>
      </c>
      <c r="G12">
        <f>RATE(10,4.0,-2262.8598395469558,E12)</f>
        <v/>
      </c>
    </row>
    <row r="13">
      <c r="A13" t="inlineStr">
        <is>
          <t>entry_usd_2262_86_first_report</t>
        </is>
      </c>
      <c r="B13" t="n">
        <v>0.04</v>
      </c>
      <c r="C13" t="n">
        <v>20</v>
      </c>
      <c r="D13" t="n">
        <v>141.8073</v>
      </c>
      <c r="E13" t="n">
        <v>2836.15</v>
      </c>
      <c r="F13" t="n">
        <v>0.024439</v>
      </c>
      <c r="G13">
        <f>RATE(10,4.0,-2262.8598395469558,E13)</f>
        <v/>
      </c>
    </row>
    <row r="14">
      <c r="A14" t="inlineStr">
        <is>
          <t>entry_usd_2262_86_first_report</t>
        </is>
      </c>
      <c r="B14" t="n">
        <v>0.04</v>
      </c>
      <c r="C14" t="n">
        <v>25</v>
      </c>
      <c r="D14" t="n">
        <v>141.8073</v>
      </c>
      <c r="E14" t="n">
        <v>3545.18</v>
      </c>
      <c r="F14" t="n">
        <v>0.047376</v>
      </c>
      <c r="G14">
        <f>RATE(10,4.0,-2262.8598395469558,E14)</f>
        <v/>
      </c>
    </row>
    <row r="15">
      <c r="A15" t="inlineStr">
        <is>
          <t>entry_usd_2262_86_first_report</t>
        </is>
      </c>
      <c r="B15" t="n">
        <v>0.04</v>
      </c>
      <c r="C15" t="n">
        <v>30</v>
      </c>
      <c r="D15" t="n">
        <v>141.8073</v>
      </c>
      <c r="E15" t="n">
        <v>4254.22</v>
      </c>
      <c r="F15" t="n">
        <v>0.06651700000000001</v>
      </c>
      <c r="G15">
        <f>RATE(10,4.0,-2262.8598395469558,E15)</f>
        <v/>
      </c>
    </row>
    <row r="16">
      <c r="A16" t="inlineStr">
        <is>
          <t>entry_usd_2262_86_first_report</t>
        </is>
      </c>
      <c r="B16" t="n">
        <v>0.06</v>
      </c>
      <c r="C16" t="n">
        <v>12</v>
      </c>
      <c r="D16" t="n">
        <v>171.563</v>
      </c>
      <c r="E16" t="n">
        <v>2058.76</v>
      </c>
      <c r="F16" t="n">
        <v>-0.007563</v>
      </c>
      <c r="G16">
        <f>RATE(10,4.0,-2262.8598395469558,E16)</f>
        <v/>
      </c>
    </row>
    <row r="17">
      <c r="A17" t="inlineStr">
        <is>
          <t>entry_usd_2262_86_first_report</t>
        </is>
      </c>
      <c r="B17" t="n">
        <v>0.06</v>
      </c>
      <c r="C17" t="n">
        <v>15</v>
      </c>
      <c r="D17" t="n">
        <v>171.563</v>
      </c>
      <c r="E17" t="n">
        <v>2573.45</v>
      </c>
      <c r="F17" t="n">
        <v>0.014614</v>
      </c>
      <c r="G17">
        <f>RATE(10,4.0,-2262.8598395469558,E17)</f>
        <v/>
      </c>
    </row>
    <row r="18">
      <c r="A18" t="inlineStr">
        <is>
          <t>entry_usd_2262_86_first_report</t>
        </is>
      </c>
      <c r="B18" t="n">
        <v>0.06</v>
      </c>
      <c r="C18" t="n">
        <v>20</v>
      </c>
      <c r="D18" t="n">
        <v>171.563</v>
      </c>
      <c r="E18" t="n">
        <v>3431.26</v>
      </c>
      <c r="F18" t="n">
        <v>0.043985</v>
      </c>
      <c r="G18">
        <f>RATE(10,4.0,-2262.8598395469558,E18)</f>
        <v/>
      </c>
    </row>
    <row r="19">
      <c r="A19" t="inlineStr">
        <is>
          <t>entry_usd_2262_86_first_report</t>
        </is>
      </c>
      <c r="B19" t="n">
        <v>0.06</v>
      </c>
      <c r="C19" t="n">
        <v>25</v>
      </c>
      <c r="D19" t="n">
        <v>171.563</v>
      </c>
      <c r="E19" t="n">
        <v>4289.08</v>
      </c>
      <c r="F19" t="n">
        <v>0.067382</v>
      </c>
      <c r="G19">
        <f>RATE(10,4.0,-2262.8598395469558,E19)</f>
        <v/>
      </c>
    </row>
    <row r="20">
      <c r="A20" t="inlineStr">
        <is>
          <t>entry_usd_2262_86_first_report</t>
        </is>
      </c>
      <c r="B20" t="n">
        <v>0.06</v>
      </c>
      <c r="C20" t="n">
        <v>30</v>
      </c>
      <c r="D20" t="n">
        <v>171.563</v>
      </c>
      <c r="E20" t="n">
        <v>5146.89</v>
      </c>
      <c r="F20" t="n">
        <v>0.086904</v>
      </c>
      <c r="G20">
        <f>RATE(10,4.0,-2262.8598395469558,E20)</f>
        <v/>
      </c>
    </row>
    <row r="21">
      <c r="A21" t="inlineStr">
        <is>
          <t>entry_usd_2262_86_first_report</t>
        </is>
      </c>
      <c r="B21" t="n">
        <v>0.08</v>
      </c>
      <c r="C21" t="n">
        <v>12</v>
      </c>
      <c r="D21" t="n">
        <v>206.8248</v>
      </c>
      <c r="E21" t="n">
        <v>2481.9</v>
      </c>
      <c r="F21" t="n">
        <v>0.010979</v>
      </c>
      <c r="G21">
        <f>RATE(10,4.0,-2262.8598395469558,E21)</f>
        <v/>
      </c>
    </row>
    <row r="22">
      <c r="A22" t="inlineStr">
        <is>
          <t>entry_usd_2262_86_first_report</t>
        </is>
      </c>
      <c r="B22" t="n">
        <v>0.08</v>
      </c>
      <c r="C22" t="n">
        <v>15</v>
      </c>
      <c r="D22" t="n">
        <v>206.8248</v>
      </c>
      <c r="E22" t="n">
        <v>3102.37</v>
      </c>
      <c r="F22" t="n">
        <v>0.033597</v>
      </c>
      <c r="G22">
        <f>RATE(10,4.0,-2262.8598395469558,E22)</f>
        <v/>
      </c>
    </row>
    <row r="23">
      <c r="A23" t="inlineStr">
        <is>
          <t>entry_usd_2262_86_first_report</t>
        </is>
      </c>
      <c r="B23" t="n">
        <v>0.08</v>
      </c>
      <c r="C23" t="n">
        <v>20</v>
      </c>
      <c r="D23" t="n">
        <v>206.8248</v>
      </c>
      <c r="E23" t="n">
        <v>4136.5</v>
      </c>
      <c r="F23" t="n">
        <v>0.06354700000000001</v>
      </c>
      <c r="G23">
        <f>RATE(10,4.0,-2262.8598395469558,E23)</f>
        <v/>
      </c>
    </row>
    <row r="24">
      <c r="A24" t="inlineStr">
        <is>
          <t>entry_usd_2262_86_first_report</t>
        </is>
      </c>
      <c r="B24" t="n">
        <v>0.08</v>
      </c>
      <c r="C24" t="n">
        <v>25</v>
      </c>
      <c r="D24" t="n">
        <v>206.8248</v>
      </c>
      <c r="E24" t="n">
        <v>5170.62</v>
      </c>
      <c r="F24" t="n">
        <v>0.08740100000000001</v>
      </c>
      <c r="G24">
        <f>RATE(10,4.0,-2262.8598395469558,E24)</f>
        <v/>
      </c>
    </row>
    <row r="25">
      <c r="A25" t="inlineStr">
        <is>
          <t>entry_usd_2262_86_first_report</t>
        </is>
      </c>
      <c r="B25" t="n">
        <v>0.08</v>
      </c>
      <c r="C25" t="n">
        <v>30</v>
      </c>
      <c r="D25" t="n">
        <v>206.8248</v>
      </c>
      <c r="E25" t="n">
        <v>6204.74</v>
      </c>
      <c r="F25" t="n">
        <v>0.107303</v>
      </c>
      <c r="G25">
        <f>RATE(10,4.0,-2262.8598395469558,E25)</f>
        <v/>
      </c>
    </row>
    <row r="26">
      <c r="A26" t="inlineStr">
        <is>
          <t>entry_usd_2262_86_first_report</t>
        </is>
      </c>
      <c r="B26" t="n">
        <v>0.1</v>
      </c>
      <c r="C26" t="n">
        <v>12</v>
      </c>
      <c r="D26" t="n">
        <v>248.4803</v>
      </c>
      <c r="E26" t="n">
        <v>2981.76</v>
      </c>
      <c r="F26" t="n">
        <v>0.029539</v>
      </c>
      <c r="G26">
        <f>RATE(10,4.0,-2262.8598395469558,E26)</f>
        <v/>
      </c>
    </row>
    <row r="27">
      <c r="A27" t="inlineStr">
        <is>
          <t>entry_usd_2262_86_first_report</t>
        </is>
      </c>
      <c r="B27" t="n">
        <v>0.1</v>
      </c>
      <c r="C27" t="n">
        <v>15</v>
      </c>
      <c r="D27" t="n">
        <v>248.4803</v>
      </c>
      <c r="E27" t="n">
        <v>3727.2</v>
      </c>
      <c r="F27" t="n">
        <v>0.052596</v>
      </c>
      <c r="G27">
        <f>RATE(10,4.0,-2262.8598395469558,E27)</f>
        <v/>
      </c>
    </row>
    <row r="28">
      <c r="A28" t="inlineStr">
        <is>
          <t>entry_usd_2262_86_first_report</t>
        </is>
      </c>
      <c r="B28" t="n">
        <v>0.1</v>
      </c>
      <c r="C28" t="n">
        <v>20</v>
      </c>
      <c r="D28" t="n">
        <v>248.4803</v>
      </c>
      <c r="E28" t="n">
        <v>4969.61</v>
      </c>
      <c r="F28" t="n">
        <v>0.083122</v>
      </c>
      <c r="G28">
        <f>RATE(10,4.0,-2262.8598395469558,E28)</f>
        <v/>
      </c>
    </row>
    <row r="29">
      <c r="A29" t="inlineStr">
        <is>
          <t>entry_usd_2262_86_first_report</t>
        </is>
      </c>
      <c r="B29" t="n">
        <v>0.1</v>
      </c>
      <c r="C29" t="n">
        <v>25</v>
      </c>
      <c r="D29" t="n">
        <v>248.4803</v>
      </c>
      <c r="E29" t="n">
        <v>6212.01</v>
      </c>
      <c r="F29" t="n">
        <v>0.107432</v>
      </c>
      <c r="G29">
        <f>RATE(10,4.0,-2262.8598395469558,E29)</f>
        <v/>
      </c>
    </row>
    <row r="30">
      <c r="A30" t="inlineStr">
        <is>
          <t>entry_usd_2262_86_first_report</t>
        </is>
      </c>
      <c r="B30" t="n">
        <v>0.1</v>
      </c>
      <c r="C30" t="n">
        <v>30</v>
      </c>
      <c r="D30" t="n">
        <v>248.4803</v>
      </c>
      <c r="E30" t="n">
        <v>7454.41</v>
      </c>
      <c r="F30" t="n">
        <v>0.127711</v>
      </c>
      <c r="G30">
        <f>RATE(10,4.0,-2262.8598395469558,E30)</f>
        <v/>
      </c>
    </row>
    <row r="31">
      <c r="A31" t="inlineStr">
        <is>
          <t>entry_usd_2262_86_first_report</t>
        </is>
      </c>
      <c r="B31" t="n">
        <v>0.12</v>
      </c>
      <c r="C31" t="n">
        <v>12</v>
      </c>
      <c r="D31" t="n">
        <v>297.54</v>
      </c>
      <c r="E31" t="n">
        <v>3570.48</v>
      </c>
      <c r="F31" t="n">
        <v>0.048116</v>
      </c>
      <c r="G31">
        <f>RATE(10,4.0,-2262.8598395469558,E31)</f>
        <v/>
      </c>
    </row>
    <row r="32">
      <c r="A32" t="inlineStr">
        <is>
          <t>entry_usd_2262_86_first_report</t>
        </is>
      </c>
      <c r="B32" t="n">
        <v>0.12</v>
      </c>
      <c r="C32" t="n">
        <v>15</v>
      </c>
      <c r="D32" t="n">
        <v>297.54</v>
      </c>
      <c r="E32" t="n">
        <v>4463.1</v>
      </c>
      <c r="F32" t="n">
        <v>0.07160900000000001</v>
      </c>
      <c r="G32">
        <f>RATE(10,4.0,-2262.8598395469558,E32)</f>
        <v/>
      </c>
    </row>
    <row r="33">
      <c r="A33" t="inlineStr">
        <is>
          <t>entry_usd_2262_86_first_report</t>
        </is>
      </c>
      <c r="B33" t="n">
        <v>0.12</v>
      </c>
      <c r="C33" t="n">
        <v>20</v>
      </c>
      <c r="D33" t="n">
        <v>297.54</v>
      </c>
      <c r="E33" t="n">
        <v>5950.8</v>
      </c>
      <c r="F33" t="n">
        <v>0.102708</v>
      </c>
      <c r="G33">
        <f>RATE(10,4.0,-2262.8598395469558,E33)</f>
        <v/>
      </c>
    </row>
    <row r="34">
      <c r="A34" t="inlineStr">
        <is>
          <t>entry_usd_2262_86_first_report</t>
        </is>
      </c>
      <c r="B34" t="n">
        <v>0.12</v>
      </c>
      <c r="C34" t="n">
        <v>25</v>
      </c>
      <c r="D34" t="n">
        <v>297.54</v>
      </c>
      <c r="E34" t="n">
        <v>7438.5</v>
      </c>
      <c r="F34" t="n">
        <v>0.127472</v>
      </c>
      <c r="G34">
        <f>RATE(10,4.0,-2262.8598395469558,E34)</f>
        <v/>
      </c>
    </row>
    <row r="35">
      <c r="A35" t="inlineStr">
        <is>
          <t>entry_usd_2262_86_first_report</t>
        </is>
      </c>
      <c r="B35" t="n">
        <v>0.12</v>
      </c>
      <c r="C35" t="n">
        <v>30</v>
      </c>
      <c r="D35" t="n">
        <v>297.54</v>
      </c>
      <c r="E35" t="n">
        <v>8926.200000000001</v>
      </c>
      <c r="F35" t="n">
        <v>0.148129</v>
      </c>
      <c r="G35">
        <f>RATE(10,4.0,-2262.8598395469558,E35)</f>
        <v/>
      </c>
    </row>
    <row r="36">
      <c r="A36" t="inlineStr">
        <is>
          <t>entry_usd_2262_86_first_report</t>
        </is>
      </c>
      <c r="B36" t="n">
        <v>0.15</v>
      </c>
      <c r="C36" t="n">
        <v>12</v>
      </c>
      <c r="D36" t="n">
        <v>387.564</v>
      </c>
      <c r="E36" t="n">
        <v>4650.77</v>
      </c>
      <c r="F36" t="n">
        <v>0.076005</v>
      </c>
      <c r="G36">
        <f>RATE(10,4.0,-2262.8598395469558,E36)</f>
        <v/>
      </c>
    </row>
    <row r="37">
      <c r="A37" t="inlineStr">
        <is>
          <t>entry_usd_2262_86_first_report</t>
        </is>
      </c>
      <c r="B37" t="n">
        <v>0.15</v>
      </c>
      <c r="C37" t="n">
        <v>15</v>
      </c>
      <c r="D37" t="n">
        <v>387.564</v>
      </c>
      <c r="E37" t="n">
        <v>5813.46</v>
      </c>
      <c r="F37" t="n">
        <v>0.100149</v>
      </c>
      <c r="G37">
        <f>RATE(10,4.0,-2262.8598395469558,E37)</f>
        <v/>
      </c>
    </row>
    <row r="38">
      <c r="A38" t="inlineStr">
        <is>
          <t>entry_usd_2262_86_first_report</t>
        </is>
      </c>
      <c r="B38" t="n">
        <v>0.15</v>
      </c>
      <c r="C38" t="n">
        <v>20</v>
      </c>
      <c r="D38" t="n">
        <v>387.564</v>
      </c>
      <c r="E38" t="n">
        <v>7751.28</v>
      </c>
      <c r="F38" t="n">
        <v>0.132105</v>
      </c>
      <c r="G38">
        <f>RATE(10,4.0,-2262.8598395469558,E38)</f>
        <v/>
      </c>
    </row>
    <row r="39">
      <c r="A39" t="inlineStr">
        <is>
          <t>entry_usd_2262_86_first_report</t>
        </is>
      </c>
      <c r="B39" t="n">
        <v>0.15</v>
      </c>
      <c r="C39" t="n">
        <v>25</v>
      </c>
      <c r="D39" t="n">
        <v>387.564</v>
      </c>
      <c r="E39" t="n">
        <v>9689.1</v>
      </c>
      <c r="F39" t="n">
        <v>0.157547</v>
      </c>
      <c r="G39">
        <f>RATE(10,4.0,-2262.8598395469558,E39)</f>
        <v/>
      </c>
    </row>
    <row r="40">
      <c r="A40" t="inlineStr">
        <is>
          <t>entry_usd_2262_86_first_report</t>
        </is>
      </c>
      <c r="B40" t="n">
        <v>0.15</v>
      </c>
      <c r="C40" t="n">
        <v>30</v>
      </c>
      <c r="D40" t="n">
        <v>387.564</v>
      </c>
      <c r="E40" t="n">
        <v>11626.92</v>
      </c>
      <c r="F40" t="n">
        <v>0.178769</v>
      </c>
      <c r="G40">
        <f>RATE(10,4.0,-2262.8598395469558,E40)</f>
        <v/>
      </c>
    </row>
    <row r="41">
      <c r="A41" t="inlineStr">
        <is>
          <t>entry_usd_2080_29_at_usdcad_1_3594</t>
        </is>
      </c>
      <c r="B41" t="n">
        <v>0</v>
      </c>
      <c r="C41" t="n">
        <v>12</v>
      </c>
      <c r="D41" t="n">
        <v>95.79989999999999</v>
      </c>
      <c r="E41" t="n">
        <v>1149.6</v>
      </c>
      <c r="F41" t="n">
        <v>-0.05504</v>
      </c>
      <c r="G41">
        <f>RATE(10,4.0,-2080.285420038252,E41)</f>
        <v/>
      </c>
    </row>
    <row r="42">
      <c r="A42" t="inlineStr">
        <is>
          <t>entry_usd_2080_29_at_usdcad_1_3594</t>
        </is>
      </c>
      <c r="B42" t="n">
        <v>0</v>
      </c>
      <c r="C42" t="n">
        <v>15</v>
      </c>
      <c r="D42" t="n">
        <v>95.79989999999999</v>
      </c>
      <c r="E42" t="n">
        <v>1437</v>
      </c>
      <c r="F42" t="n">
        <v>-0.034037</v>
      </c>
      <c r="G42">
        <f>RATE(10,4.0,-2080.285420038252,E42)</f>
        <v/>
      </c>
    </row>
    <row r="43">
      <c r="A43" t="inlineStr">
        <is>
          <t>entry_usd_2080_29_at_usdcad_1_3594</t>
        </is>
      </c>
      <c r="B43" t="n">
        <v>0</v>
      </c>
      <c r="C43" t="n">
        <v>20</v>
      </c>
      <c r="D43" t="n">
        <v>95.79989999999999</v>
      </c>
      <c r="E43" t="n">
        <v>1916</v>
      </c>
      <c r="F43" t="n">
        <v>-0.006197</v>
      </c>
      <c r="G43">
        <f>RATE(10,4.0,-2080.285420038252,E43)</f>
        <v/>
      </c>
    </row>
    <row r="44">
      <c r="A44" t="inlineStr">
        <is>
          <t>entry_usd_2080_29_at_usdcad_1_3594</t>
        </is>
      </c>
      <c r="B44" t="n">
        <v>0</v>
      </c>
      <c r="C44" t="n">
        <v>25</v>
      </c>
      <c r="D44" t="n">
        <v>95.79989999999999</v>
      </c>
      <c r="E44" t="n">
        <v>2395</v>
      </c>
      <c r="F44" t="n">
        <v>0.015994</v>
      </c>
      <c r="G44">
        <f>RATE(10,4.0,-2080.285420038252,E44)</f>
        <v/>
      </c>
    </row>
    <row r="45">
      <c r="A45" t="inlineStr">
        <is>
          <t>entry_usd_2080_29_at_usdcad_1_3594</t>
        </is>
      </c>
      <c r="B45" t="n">
        <v>0</v>
      </c>
      <c r="C45" t="n">
        <v>30</v>
      </c>
      <c r="D45" t="n">
        <v>95.79989999999999</v>
      </c>
      <c r="E45" t="n">
        <v>2874</v>
      </c>
      <c r="F45" t="n">
        <v>0.034518</v>
      </c>
      <c r="G45">
        <f>RATE(10,4.0,-2080.285420038252,E45)</f>
        <v/>
      </c>
    </row>
    <row r="46">
      <c r="A46" t="inlineStr">
        <is>
          <t>entry_usd_2080_29_at_usdcad_1_3594</t>
        </is>
      </c>
      <c r="B46" t="n">
        <v>0.04</v>
      </c>
      <c r="C46" t="n">
        <v>12</v>
      </c>
      <c r="D46" t="n">
        <v>141.8073</v>
      </c>
      <c r="E46" t="n">
        <v>1701.69</v>
      </c>
      <c r="F46" t="n">
        <v>-0.017781</v>
      </c>
      <c r="G46">
        <f>RATE(10,4.0,-2080.285420038252,E46)</f>
        <v/>
      </c>
    </row>
    <row r="47">
      <c r="A47" t="inlineStr">
        <is>
          <t>entry_usd_2080_29_at_usdcad_1_3594</t>
        </is>
      </c>
      <c r="B47" t="n">
        <v>0.04</v>
      </c>
      <c r="C47" t="n">
        <v>15</v>
      </c>
      <c r="D47" t="n">
        <v>141.8073</v>
      </c>
      <c r="E47" t="n">
        <v>2127.11</v>
      </c>
      <c r="F47" t="n">
        <v>0.004132</v>
      </c>
      <c r="G47">
        <f>RATE(10,4.0,-2080.285420038252,E47)</f>
        <v/>
      </c>
    </row>
    <row r="48">
      <c r="A48" t="inlineStr">
        <is>
          <t>entry_usd_2080_29_at_usdcad_1_3594</t>
        </is>
      </c>
      <c r="B48" t="n">
        <v>0.04</v>
      </c>
      <c r="C48" t="n">
        <v>20</v>
      </c>
      <c r="D48" t="n">
        <v>141.8073</v>
      </c>
      <c r="E48" t="n">
        <v>2836.15</v>
      </c>
      <c r="F48" t="n">
        <v>0.033159</v>
      </c>
      <c r="G48">
        <f>RATE(10,4.0,-2080.285420038252,E48)</f>
        <v/>
      </c>
    </row>
    <row r="49">
      <c r="A49" t="inlineStr">
        <is>
          <t>entry_usd_2080_29_at_usdcad_1_3594</t>
        </is>
      </c>
      <c r="B49" t="n">
        <v>0.04</v>
      </c>
      <c r="C49" t="n">
        <v>25</v>
      </c>
      <c r="D49" t="n">
        <v>141.8073</v>
      </c>
      <c r="E49" t="n">
        <v>3545.18</v>
      </c>
      <c r="F49" t="n">
        <v>0.056286</v>
      </c>
      <c r="G49">
        <f>RATE(10,4.0,-2080.285420038252,E49)</f>
        <v/>
      </c>
    </row>
    <row r="50">
      <c r="A50" t="inlineStr">
        <is>
          <t>entry_usd_2080_29_at_usdcad_1_3594</t>
        </is>
      </c>
      <c r="B50" t="n">
        <v>0.04</v>
      </c>
      <c r="C50" t="n">
        <v>30</v>
      </c>
      <c r="D50" t="n">
        <v>141.8073</v>
      </c>
      <c r="E50" t="n">
        <v>4254.22</v>
      </c>
      <c r="F50" t="n">
        <v>0.075586</v>
      </c>
      <c r="G50">
        <f>RATE(10,4.0,-2080.285420038252,E50)</f>
        <v/>
      </c>
    </row>
    <row r="51">
      <c r="A51" t="inlineStr">
        <is>
          <t>entry_usd_2080_29_at_usdcad_1_3594</t>
        </is>
      </c>
      <c r="B51" t="n">
        <v>0.06</v>
      </c>
      <c r="C51" t="n">
        <v>12</v>
      </c>
      <c r="D51" t="n">
        <v>171.563</v>
      </c>
      <c r="E51" t="n">
        <v>2058.76</v>
      </c>
      <c r="F51" t="n">
        <v>0.000892</v>
      </c>
      <c r="G51">
        <f>RATE(10,4.0,-2080.285420038252,E51)</f>
        <v/>
      </c>
    </row>
    <row r="52">
      <c r="A52" t="inlineStr">
        <is>
          <t>entry_usd_2080_29_at_usdcad_1_3594</t>
        </is>
      </c>
      <c r="B52" t="n">
        <v>0.06</v>
      </c>
      <c r="C52" t="n">
        <v>15</v>
      </c>
      <c r="D52" t="n">
        <v>171.563</v>
      </c>
      <c r="E52" t="n">
        <v>2573.45</v>
      </c>
      <c r="F52" t="n">
        <v>0.023253</v>
      </c>
      <c r="G52">
        <f>RATE(10,4.0,-2080.285420038252,E52)</f>
        <v/>
      </c>
    </row>
    <row r="53">
      <c r="A53" t="inlineStr">
        <is>
          <t>entry_usd_2080_29_at_usdcad_1_3594</t>
        </is>
      </c>
      <c r="B53" t="n">
        <v>0.06</v>
      </c>
      <c r="C53" t="n">
        <v>20</v>
      </c>
      <c r="D53" t="n">
        <v>171.563</v>
      </c>
      <c r="E53" t="n">
        <v>3431.26</v>
      </c>
      <c r="F53" t="n">
        <v>0.052867</v>
      </c>
      <c r="G53">
        <f>RATE(10,4.0,-2080.285420038252,E53)</f>
        <v/>
      </c>
    </row>
    <row r="54">
      <c r="A54" t="inlineStr">
        <is>
          <t>entry_usd_2080_29_at_usdcad_1_3594</t>
        </is>
      </c>
      <c r="B54" t="n">
        <v>0.06</v>
      </c>
      <c r="C54" t="n">
        <v>25</v>
      </c>
      <c r="D54" t="n">
        <v>171.563</v>
      </c>
      <c r="E54" t="n">
        <v>4289.08</v>
      </c>
      <c r="F54" t="n">
        <v>0.076458</v>
      </c>
      <c r="G54">
        <f>RATE(10,4.0,-2080.285420038252,E54)</f>
        <v/>
      </c>
    </row>
    <row r="55">
      <c r="A55" t="inlineStr">
        <is>
          <t>entry_usd_2080_29_at_usdcad_1_3594</t>
        </is>
      </c>
      <c r="B55" t="n">
        <v>0.06</v>
      </c>
      <c r="C55" t="n">
        <v>30</v>
      </c>
      <c r="D55" t="n">
        <v>171.563</v>
      </c>
      <c r="E55" t="n">
        <v>5146.89</v>
      </c>
      <c r="F55" t="n">
        <v>0.09614300000000001</v>
      </c>
      <c r="G55">
        <f>RATE(10,4.0,-2080.285420038252,E55)</f>
        <v/>
      </c>
    </row>
    <row r="56">
      <c r="A56" t="inlineStr">
        <is>
          <t>entry_usd_2080_29_at_usdcad_1_3594</t>
        </is>
      </c>
      <c r="B56" t="n">
        <v>0.08</v>
      </c>
      <c r="C56" t="n">
        <v>12</v>
      </c>
      <c r="D56" t="n">
        <v>206.8248</v>
      </c>
      <c r="E56" t="n">
        <v>2481.9</v>
      </c>
      <c r="F56" t="n">
        <v>0.019587</v>
      </c>
      <c r="G56">
        <f>RATE(10,4.0,-2080.285420038252,E56)</f>
        <v/>
      </c>
    </row>
    <row r="57">
      <c r="A57" t="inlineStr">
        <is>
          <t>entry_usd_2080_29_at_usdcad_1_3594</t>
        </is>
      </c>
      <c r="B57" t="n">
        <v>0.08</v>
      </c>
      <c r="C57" t="n">
        <v>15</v>
      </c>
      <c r="D57" t="n">
        <v>206.8248</v>
      </c>
      <c r="E57" t="n">
        <v>3102.37</v>
      </c>
      <c r="F57" t="n">
        <v>0.042393</v>
      </c>
      <c r="G57">
        <f>RATE(10,4.0,-2080.285420038252,E57)</f>
        <v/>
      </c>
    </row>
    <row r="58">
      <c r="A58" t="inlineStr">
        <is>
          <t>entry_usd_2080_29_at_usdcad_1_3594</t>
        </is>
      </c>
      <c r="B58" t="n">
        <v>0.08</v>
      </c>
      <c r="C58" t="n">
        <v>20</v>
      </c>
      <c r="D58" t="n">
        <v>206.8248</v>
      </c>
      <c r="E58" t="n">
        <v>4136.5</v>
      </c>
      <c r="F58" t="n">
        <v>0.072592</v>
      </c>
      <c r="G58">
        <f>RATE(10,4.0,-2080.285420038252,E58)</f>
        <v/>
      </c>
    </row>
    <row r="59">
      <c r="A59" t="inlineStr">
        <is>
          <t>entry_usd_2080_29_at_usdcad_1_3594</t>
        </is>
      </c>
      <c r="B59" t="n">
        <v>0.08</v>
      </c>
      <c r="C59" t="n">
        <v>25</v>
      </c>
      <c r="D59" t="n">
        <v>206.8248</v>
      </c>
      <c r="E59" t="n">
        <v>5170.62</v>
      </c>
      <c r="F59" t="n">
        <v>0.09664399999999999</v>
      </c>
      <c r="G59">
        <f>RATE(10,4.0,-2080.285420038252,E59)</f>
        <v/>
      </c>
    </row>
    <row r="60">
      <c r="A60" t="inlineStr">
        <is>
          <t>entry_usd_2080_29_at_usdcad_1_3594</t>
        </is>
      </c>
      <c r="B60" t="n">
        <v>0.08</v>
      </c>
      <c r="C60" t="n">
        <v>30</v>
      </c>
      <c r="D60" t="n">
        <v>206.8248</v>
      </c>
      <c r="E60" t="n">
        <v>6204.74</v>
      </c>
      <c r="F60" t="n">
        <v>0.116712</v>
      </c>
      <c r="G60">
        <f>RATE(10,4.0,-2080.285420038252,E60)</f>
        <v/>
      </c>
    </row>
    <row r="61">
      <c r="A61" t="inlineStr">
        <is>
          <t>entry_usd_2080_29_at_usdcad_1_3594</t>
        </is>
      </c>
      <c r="B61" t="n">
        <v>0.1</v>
      </c>
      <c r="C61" t="n">
        <v>12</v>
      </c>
      <c r="D61" t="n">
        <v>248.4803</v>
      </c>
      <c r="E61" t="n">
        <v>2981.76</v>
      </c>
      <c r="F61" t="n">
        <v>0.038302</v>
      </c>
      <c r="G61">
        <f>RATE(10,4.0,-2080.285420038252,E61)</f>
        <v/>
      </c>
    </row>
    <row r="62">
      <c r="A62" t="inlineStr">
        <is>
          <t>entry_usd_2080_29_at_usdcad_1_3594</t>
        </is>
      </c>
      <c r="B62" t="n">
        <v>0.1</v>
      </c>
      <c r="C62" t="n">
        <v>15</v>
      </c>
      <c r="D62" t="n">
        <v>248.4803</v>
      </c>
      <c r="E62" t="n">
        <v>3727.2</v>
      </c>
      <c r="F62" t="n">
        <v>0.06155</v>
      </c>
      <c r="G62">
        <f>RATE(10,4.0,-2080.285420038252,E62)</f>
        <v/>
      </c>
    </row>
    <row r="63">
      <c r="A63" t="inlineStr">
        <is>
          <t>entry_usd_2080_29_at_usdcad_1_3594</t>
        </is>
      </c>
      <c r="B63" t="n">
        <v>0.1</v>
      </c>
      <c r="C63" t="n">
        <v>20</v>
      </c>
      <c r="D63" t="n">
        <v>248.4803</v>
      </c>
      <c r="E63" t="n">
        <v>4969.61</v>
      </c>
      <c r="F63" t="n">
        <v>0.09232899999999999</v>
      </c>
      <c r="G63">
        <f>RATE(10,4.0,-2080.285420038252,E63)</f>
        <v/>
      </c>
    </row>
    <row r="64">
      <c r="A64" t="inlineStr">
        <is>
          <t>entry_usd_2080_29_at_usdcad_1_3594</t>
        </is>
      </c>
      <c r="B64" t="n">
        <v>0.1</v>
      </c>
      <c r="C64" t="n">
        <v>25</v>
      </c>
      <c r="D64" t="n">
        <v>248.4803</v>
      </c>
      <c r="E64" t="n">
        <v>6212.01</v>
      </c>
      <c r="F64" t="n">
        <v>0.116842</v>
      </c>
      <c r="G64">
        <f>RATE(10,4.0,-2080.285420038252,E64)</f>
        <v/>
      </c>
    </row>
    <row r="65">
      <c r="A65" t="inlineStr">
        <is>
          <t>entry_usd_2080_29_at_usdcad_1_3594</t>
        </is>
      </c>
      <c r="B65" t="n">
        <v>0.1</v>
      </c>
      <c r="C65" t="n">
        <v>30</v>
      </c>
      <c r="D65" t="n">
        <v>248.4803</v>
      </c>
      <c r="E65" t="n">
        <v>7454.41</v>
      </c>
      <c r="F65" t="n">
        <v>0.137291</v>
      </c>
      <c r="G65">
        <f>RATE(10,4.0,-2080.285420038252,E65)</f>
        <v/>
      </c>
    </row>
    <row r="66">
      <c r="A66" t="inlineStr">
        <is>
          <t>entry_usd_2080_29_at_usdcad_1_3594</t>
        </is>
      </c>
      <c r="B66" t="n">
        <v>0.12</v>
      </c>
      <c r="C66" t="n">
        <v>12</v>
      </c>
      <c r="D66" t="n">
        <v>297.54</v>
      </c>
      <c r="E66" t="n">
        <v>3570.48</v>
      </c>
      <c r="F66" t="n">
        <v>0.057032</v>
      </c>
      <c r="G66">
        <f>RATE(10,4.0,-2080.285420038252,E66)</f>
        <v/>
      </c>
    </row>
    <row r="67">
      <c r="A67" t="inlineStr">
        <is>
          <t>entry_usd_2080_29_at_usdcad_1_3594</t>
        </is>
      </c>
      <c r="B67" t="n">
        <v>0.12</v>
      </c>
      <c r="C67" t="n">
        <v>15</v>
      </c>
      <c r="D67" t="n">
        <v>297.54</v>
      </c>
      <c r="E67" t="n">
        <v>4463.1</v>
      </c>
      <c r="F67" t="n">
        <v>0.080721</v>
      </c>
      <c r="G67">
        <f>RATE(10,4.0,-2080.285420038252,E67)</f>
        <v/>
      </c>
    </row>
    <row r="68">
      <c r="A68" t="inlineStr">
        <is>
          <t>entry_usd_2080_29_at_usdcad_1_3594</t>
        </is>
      </c>
      <c r="B68" t="n">
        <v>0.12</v>
      </c>
      <c r="C68" t="n">
        <v>20</v>
      </c>
      <c r="D68" t="n">
        <v>297.54</v>
      </c>
      <c r="E68" t="n">
        <v>5950.8</v>
      </c>
      <c r="F68" t="n">
        <v>0.112079</v>
      </c>
      <c r="G68">
        <f>RATE(10,4.0,-2080.285420038252,E68)</f>
        <v/>
      </c>
    </row>
    <row r="69">
      <c r="A69" t="inlineStr">
        <is>
          <t>entry_usd_2080_29_at_usdcad_1_3594</t>
        </is>
      </c>
      <c r="B69" t="n">
        <v>0.12</v>
      </c>
      <c r="C69" t="n">
        <v>25</v>
      </c>
      <c r="D69" t="n">
        <v>297.54</v>
      </c>
      <c r="E69" t="n">
        <v>7438.5</v>
      </c>
      <c r="F69" t="n">
        <v>0.137049</v>
      </c>
      <c r="G69">
        <f>RATE(10,4.0,-2080.285420038252,E69)</f>
        <v/>
      </c>
    </row>
    <row r="70">
      <c r="A70" t="inlineStr">
        <is>
          <t>entry_usd_2080_29_at_usdcad_1_3594</t>
        </is>
      </c>
      <c r="B70" t="n">
        <v>0.12</v>
      </c>
      <c r="C70" t="n">
        <v>30</v>
      </c>
      <c r="D70" t="n">
        <v>297.54</v>
      </c>
      <c r="E70" t="n">
        <v>8926.200000000001</v>
      </c>
      <c r="F70" t="n">
        <v>0.157879</v>
      </c>
      <c r="G70">
        <f>RATE(10,4.0,-2080.285420038252,E70)</f>
        <v/>
      </c>
    </row>
    <row r="71">
      <c r="A71" t="inlineStr">
        <is>
          <t>entry_usd_2080_29_at_usdcad_1_3594</t>
        </is>
      </c>
      <c r="B71" t="n">
        <v>0.15</v>
      </c>
      <c r="C71" t="n">
        <v>12</v>
      </c>
      <c r="D71" t="n">
        <v>387.564</v>
      </c>
      <c r="E71" t="n">
        <v>4650.77</v>
      </c>
      <c r="F71" t="n">
        <v>0.08515399999999999</v>
      </c>
      <c r="G71">
        <f>RATE(10,4.0,-2080.285420038252,E71)</f>
        <v/>
      </c>
    </row>
    <row r="72">
      <c r="A72" t="inlineStr">
        <is>
          <t>entry_usd_2080_29_at_usdcad_1_3594</t>
        </is>
      </c>
      <c r="B72" t="n">
        <v>0.15</v>
      </c>
      <c r="C72" t="n">
        <v>15</v>
      </c>
      <c r="D72" t="n">
        <v>387.564</v>
      </c>
      <c r="E72" t="n">
        <v>5813.46</v>
      </c>
      <c r="F72" t="n">
        <v>0.109499</v>
      </c>
      <c r="G72">
        <f>RATE(10,4.0,-2080.285420038252,E72)</f>
        <v/>
      </c>
    </row>
    <row r="73">
      <c r="A73" t="inlineStr">
        <is>
          <t>entry_usd_2080_29_at_usdcad_1_3594</t>
        </is>
      </c>
      <c r="B73" t="n">
        <v>0.15</v>
      </c>
      <c r="C73" t="n">
        <v>20</v>
      </c>
      <c r="D73" t="n">
        <v>387.564</v>
      </c>
      <c r="E73" t="n">
        <v>7751.28</v>
      </c>
      <c r="F73" t="n">
        <v>0.141721</v>
      </c>
      <c r="G73">
        <f>RATE(10,4.0,-2080.285420038252,E73)</f>
        <v/>
      </c>
    </row>
    <row r="74">
      <c r="A74" t="inlineStr">
        <is>
          <t>entry_usd_2080_29_at_usdcad_1_3594</t>
        </is>
      </c>
      <c r="B74" t="n">
        <v>0.15</v>
      </c>
      <c r="C74" t="n">
        <v>25</v>
      </c>
      <c r="D74" t="n">
        <v>387.564</v>
      </c>
      <c r="E74" t="n">
        <v>9689.1</v>
      </c>
      <c r="F74" t="n">
        <v>0.167376</v>
      </c>
      <c r="G74">
        <f>RATE(10,4.0,-2080.285420038252,E74)</f>
        <v/>
      </c>
    </row>
    <row r="75">
      <c r="A75" t="inlineStr">
        <is>
          <t>entry_usd_2080_29_at_usdcad_1_3594</t>
        </is>
      </c>
      <c r="B75" t="n">
        <v>0.15</v>
      </c>
      <c r="C75" t="n">
        <v>30</v>
      </c>
      <c r="D75" t="n">
        <v>387.564</v>
      </c>
      <c r="E75" t="n">
        <v>11626.92</v>
      </c>
      <c r="F75" t="n">
        <v>0.188775</v>
      </c>
      <c r="G75">
        <f>RATE(10,4.0,-2080.285420038252,E75)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70" customWidth="1" min="4" max="4"/>
  </cols>
  <sheetData>
    <row r="1">
      <c r="A1" t="inlineStr">
        <is>
          <t>Window</t>
        </is>
      </c>
      <c r="B1" t="inlineStr">
        <is>
          <t>Metric</t>
        </is>
      </c>
      <c r="C1" t="inlineStr">
        <is>
          <t>Value</t>
        </is>
      </c>
      <c r="D1" t="inlineStr">
        <is>
          <t>Formula/Note</t>
        </is>
      </c>
    </row>
    <row r="2">
      <c r="A2" t="inlineStr">
        <is>
          <t>longest_available</t>
        </is>
      </c>
      <c r="B2" t="inlineStr">
        <is>
          <t>revenue_cagr</t>
        </is>
      </c>
      <c r="C2" t="n">
        <v>0.207486</v>
      </c>
      <c r="D2" t="inlineStr">
        <is>
          <t>(revenue[end]/revenue[start])^(1/n_years) - 1</t>
        </is>
      </c>
    </row>
    <row r="3">
      <c r="A3" t="inlineStr">
        <is>
          <t>longest_available</t>
        </is>
      </c>
      <c r="B3" t="inlineStr">
        <is>
          <t>fcfa2s_cagr</t>
        </is>
      </c>
      <c r="C3" t="n">
        <v>0.164617</v>
      </c>
      <c r="D3" t="inlineStr">
        <is>
          <t>(fcfa2s[end]/fcfa2s[start])^(1/n_years) - 1</t>
        </is>
      </c>
    </row>
    <row r="4">
      <c r="A4" t="inlineStr">
        <is>
          <t>longest_available</t>
        </is>
      </c>
      <c r="B4" t="inlineStr">
        <is>
          <t>fcfa2s_per_share_cagr</t>
        </is>
      </c>
      <c r="D4" t="inlineStr">
        <is>
          <t>fcfa2s_per_share_cagr[longest_available]: parent_long_run.shares_outstanding has only one year on file ([2025]); no historical share-count series exists to compute a per-share CAGR.</t>
        </is>
      </c>
    </row>
    <row r="5">
      <c r="A5" t="inlineStr">
        <is>
          <t>longest_available</t>
        </is>
      </c>
      <c r="B5" t="inlineStr">
        <is>
          <t>average_organic_growth_pct</t>
        </is>
      </c>
      <c r="C5" t="n">
        <v>0.5</v>
      </c>
      <c r="D5" t="inlineStr">
        <is>
          <t>average excludes years with no parent_long_run.organic_growth_pct figure: [2018]</t>
        </is>
      </c>
    </row>
    <row r="6">
      <c r="A6" t="inlineStr">
        <is>
          <t>longest_available</t>
        </is>
      </c>
      <c r="B6" t="inlineStr">
        <is>
          <t>average_acquisitions_to_fcfa2s</t>
        </is>
      </c>
      <c r="C6" t="n">
        <v>0.926092</v>
      </c>
      <c r="D6" t="inlineStr">
        <is>
          <t>mean(acquisitions_cash_spent[y]/fcfa2s[y] for y in years where both exist)</t>
        </is>
      </c>
    </row>
    <row r="7">
      <c r="A7" t="inlineStr">
        <is>
          <t>2015_2020</t>
        </is>
      </c>
      <c r="B7" t="inlineStr">
        <is>
          <t>revenue_cagr</t>
        </is>
      </c>
      <c r="D7" t="inlineStr">
        <is>
          <t>revenue_cagr[2015_2020]: missing endpoint(s) in parent_long_run.revenue -- need both 2015 and 2020 in series; have [2016, 2017, 2018, 2019, 2020, 2021, 2022, 2023, 2024, 2025]</t>
        </is>
      </c>
    </row>
    <row r="8">
      <c r="A8" t="inlineStr">
        <is>
          <t>2015_2020</t>
        </is>
      </c>
      <c r="B8" t="inlineStr">
        <is>
          <t>fcfa2s_cagr</t>
        </is>
      </c>
      <c r="D8" t="inlineStr">
        <is>
          <t>fcfa2s_cagr[2015_2020]: missing endpoint(s) in parent_long_run.fcfa2s (only FY2018-FY2021 on file) -- need both 2015 and 2020 in series; have [2018, 2019, 2020, 2021]</t>
        </is>
      </c>
    </row>
    <row r="9">
      <c r="A9" t="inlineStr">
        <is>
          <t>2015_2020</t>
        </is>
      </c>
      <c r="B9" t="inlineStr">
        <is>
          <t>fcfa2s_per_share_cagr</t>
        </is>
      </c>
      <c r="D9" t="inlineStr">
        <is>
          <t>fcfa2s_per_share_cagr[2015_2020]: parent_long_run.shares_outstanding has only one year on file ([2025]); no historical share-count series exists to compute a per-share CAGR.</t>
        </is>
      </c>
    </row>
    <row r="10">
      <c r="A10" t="inlineStr">
        <is>
          <t>2015_2020</t>
        </is>
      </c>
      <c r="B10" t="inlineStr">
        <is>
          <t>average_organic_growth_pct</t>
        </is>
      </c>
      <c r="C10" t="n">
        <v>-0.8</v>
      </c>
      <c r="D10" t="inlineStr">
        <is>
          <t>average excludes years with no parent_long_run.organic_growth_pct figure: [2018]</t>
        </is>
      </c>
    </row>
    <row r="11">
      <c r="A11" t="inlineStr">
        <is>
          <t>2015_2020</t>
        </is>
      </c>
      <c r="B11" t="inlineStr">
        <is>
          <t>average_acquisitions_to_fcfa2s</t>
        </is>
      </c>
      <c r="C11" t="n">
        <v>0.73007</v>
      </c>
      <c r="D11" t="inlineStr">
        <is>
          <t>mean(acquisitions_cash_spent[y]/fcfa2s[y] for y in years where both exist)</t>
        </is>
      </c>
    </row>
    <row r="12">
      <c r="A12" t="inlineStr">
        <is>
          <t>2020_2025</t>
        </is>
      </c>
      <c r="B12" t="inlineStr">
        <is>
          <t>revenue_cagr</t>
        </is>
      </c>
      <c r="C12" t="n">
        <v>0.239668</v>
      </c>
      <c r="D12" t="inlineStr">
        <is>
          <t>(revenue[end]/revenue[start])^(1/n_years) - 1</t>
        </is>
      </c>
    </row>
    <row r="13">
      <c r="A13" t="inlineStr">
        <is>
          <t>2020_2025</t>
        </is>
      </c>
      <c r="B13" t="inlineStr">
        <is>
          <t>fcfa2s_cagr</t>
        </is>
      </c>
      <c r="D13" t="inlineStr">
        <is>
          <t>fcfa2s_cagr[2020_2025]: missing endpoint(s) in parent_long_run.fcfa2s (only FY2018-FY2021 on file) -- need both 2020 and 2025 in series; have [2018, 2019, 2020, 2021]</t>
        </is>
      </c>
    </row>
    <row r="14">
      <c r="A14" t="inlineStr">
        <is>
          <t>2020_2025</t>
        </is>
      </c>
      <c r="B14" t="inlineStr">
        <is>
          <t>fcfa2s_per_share_cagr</t>
        </is>
      </c>
      <c r="D14" t="inlineStr">
        <is>
          <t>fcfa2s_per_share_cagr[2020_2025]: parent_long_run.shares_outstanding has only one year on file ([2025]); no historical share-count series exists to compute a per-share CAGR.</t>
        </is>
      </c>
    </row>
    <row r="15">
      <c r="A15" t="inlineStr">
        <is>
          <t>2020_2025</t>
        </is>
      </c>
      <c r="B15" t="inlineStr">
        <is>
          <t>average_organic_growth_pct</t>
        </is>
      </c>
      <c r="C15" t="n">
        <v>2</v>
      </c>
      <c r="D15" t="inlineStr">
        <is>
          <t>average excludes years with no parent_long_run.organic_growth_pct figure: [2022, 2023, 2024, 2025]</t>
        </is>
      </c>
    </row>
    <row r="16">
      <c r="A16" t="inlineStr">
        <is>
          <t>2020_2025</t>
        </is>
      </c>
      <c r="B16" t="inlineStr">
        <is>
          <t>average_acquisitions_to_fcfa2s</t>
        </is>
      </c>
      <c r="C16" t="n">
        <v>0.847574</v>
      </c>
      <c r="D16" t="inlineStr">
        <is>
          <t>mean(acquisitions_cash_spent[y]/fcfa2s[y] for y in years where both exist)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60" customWidth="1" min="5" max="5"/>
  </cols>
  <sheetData>
    <row r="1">
      <c r="A1" t="inlineStr">
        <is>
          <t>Holding</t>
        </is>
      </c>
      <c r="B1" t="inlineStr">
        <is>
          <t>Metric group</t>
        </is>
      </c>
      <c r="C1" t="inlineStr">
        <is>
          <t>Period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topicus</t>
        </is>
      </c>
      <c r="B2" t="inlineStr">
        <is>
          <t>revenue_growth_yoy</t>
        </is>
      </c>
      <c r="C2" t="inlineStr">
        <is>
          <t>FY2023</t>
        </is>
      </c>
      <c r="E2" t="inlineStr">
        <is>
          <t>topicus revenue_growth_yoy[FY2023]: no FY2022 revenue in holdings.json.</t>
        </is>
      </c>
    </row>
    <row r="3">
      <c r="A3" t="inlineStr">
        <is>
          <t>topicus</t>
        </is>
      </c>
      <c r="B3" t="inlineStr">
        <is>
          <t>revenue_growth_yoy</t>
        </is>
      </c>
      <c r="C3" t="inlineStr">
        <is>
          <t>FY2024</t>
        </is>
      </c>
      <c r="D3" t="n">
        <v>0.151022</v>
      </c>
      <c r="E3" t="inlineStr"/>
    </row>
    <row r="4">
      <c r="A4" t="inlineStr">
        <is>
          <t>topicus</t>
        </is>
      </c>
      <c r="B4" t="inlineStr">
        <is>
          <t>revenue_growth_yoy</t>
        </is>
      </c>
      <c r="C4" t="inlineStr">
        <is>
          <t>FY2025</t>
        </is>
      </c>
      <c r="D4" t="n">
        <v>0.19878</v>
      </c>
      <c r="E4" t="inlineStr"/>
    </row>
    <row r="5">
      <c r="A5" t="inlineStr">
        <is>
          <t>topicus</t>
        </is>
      </c>
      <c r="B5" t="inlineStr">
        <is>
          <t>revenue_growth_yoy</t>
        </is>
      </c>
      <c r="C5" t="inlineStr">
        <is>
          <t>Q1 2025</t>
        </is>
      </c>
      <c r="E5" t="inlineStr">
        <is>
          <t>topicus revenue_growth_yoy[Q1 2025]: no Q1 2024 revenue in holdings.json.</t>
        </is>
      </c>
    </row>
    <row r="6">
      <c r="A6" t="inlineStr">
        <is>
          <t>topicus</t>
        </is>
      </c>
      <c r="B6" t="inlineStr">
        <is>
          <t>revenue_growth_yoy</t>
        </is>
      </c>
      <c r="C6" t="inlineStr">
        <is>
          <t>Q2 2025</t>
        </is>
      </c>
      <c r="E6" t="inlineStr">
        <is>
          <t>topicus revenue_growth_yoy[Q2 2025]: no Q2 2024 revenue in holdings.json.</t>
        </is>
      </c>
    </row>
    <row r="7">
      <c r="A7" t="inlineStr">
        <is>
          <t>topicus</t>
        </is>
      </c>
      <c r="B7" t="inlineStr">
        <is>
          <t>revenue_growth_yoy</t>
        </is>
      </c>
      <c r="C7" t="inlineStr">
        <is>
          <t>H1 2025</t>
        </is>
      </c>
      <c r="E7" t="inlineStr">
        <is>
          <t>topicus revenue_growth_yoy[H1 2025]: no H1 2024 revenue in holdings.json.</t>
        </is>
      </c>
    </row>
    <row r="8">
      <c r="A8" t="inlineStr">
        <is>
          <t>topicus</t>
        </is>
      </c>
      <c r="B8" t="inlineStr">
        <is>
          <t>revenue_growth_yoy</t>
        </is>
      </c>
      <c r="C8" t="inlineStr">
        <is>
          <t>H1 2026</t>
        </is>
      </c>
      <c r="D8" t="n">
        <v>0.201845</v>
      </c>
      <c r="E8" t="inlineStr"/>
    </row>
    <row r="9">
      <c r="A9" t="inlineStr">
        <is>
          <t>topicus</t>
        </is>
      </c>
      <c r="B9" t="inlineStr">
        <is>
          <t>revenue_growth_yoy</t>
        </is>
      </c>
      <c r="C9" t="inlineStr">
        <is>
          <t>Q2 2026</t>
        </is>
      </c>
      <c r="D9" t="n">
        <v>0.175538</v>
      </c>
      <c r="E9" t="inlineStr"/>
    </row>
    <row r="10">
      <c r="A10" t="inlineStr">
        <is>
          <t>topicus</t>
        </is>
      </c>
      <c r="B10" t="inlineStr">
        <is>
          <t>organic_growth_pct</t>
        </is>
      </c>
      <c r="C10" t="inlineStr">
        <is>
          <t>FY2024</t>
        </is>
      </c>
      <c r="D10" t="n">
        <v>5</v>
      </c>
      <c r="E10" t="inlineStr">
        <is>
          <t>[holdings:topicus:organic_growth_pct:FY2024]</t>
        </is>
      </c>
    </row>
    <row r="11">
      <c r="A11" t="inlineStr">
        <is>
          <t>topicus</t>
        </is>
      </c>
      <c r="B11" t="inlineStr">
        <is>
          <t>organic_growth_pct</t>
        </is>
      </c>
      <c r="C11" t="inlineStr">
        <is>
          <t>FY2025</t>
        </is>
      </c>
      <c r="D11" t="n">
        <v>4</v>
      </c>
      <c r="E11" t="inlineStr">
        <is>
          <t>[holdings:topicus:organic_growth_pct:FY2025]</t>
        </is>
      </c>
    </row>
    <row r="12">
      <c r="A12" t="inlineStr">
        <is>
          <t>topicus</t>
        </is>
      </c>
      <c r="B12" t="inlineStr">
        <is>
          <t>organic_growth_pct</t>
        </is>
      </c>
      <c r="C12" t="inlineStr">
        <is>
          <t>Q1 2025</t>
        </is>
      </c>
      <c r="D12" t="n">
        <v>4</v>
      </c>
      <c r="E12" t="inlineStr">
        <is>
          <t>[holdings:topicus:organic_growth_pct:Q1 2025]</t>
        </is>
      </c>
    </row>
    <row r="13">
      <c r="A13" t="inlineStr">
        <is>
          <t>topicus</t>
        </is>
      </c>
      <c r="B13" t="inlineStr">
        <is>
          <t>organic_growth_pct</t>
        </is>
      </c>
      <c r="C13" t="inlineStr">
        <is>
          <t>Q2 2025</t>
        </is>
      </c>
      <c r="D13" t="n">
        <v>5</v>
      </c>
      <c r="E13" t="inlineStr">
        <is>
          <t>[holdings:topicus:organic_growth_pct:Q2 2025]</t>
        </is>
      </c>
    </row>
    <row r="14">
      <c r="A14" t="inlineStr">
        <is>
          <t>topicus</t>
        </is>
      </c>
      <c r="B14" t="inlineStr">
        <is>
          <t>organic_growth_pct</t>
        </is>
      </c>
      <c r="C14" t="inlineStr">
        <is>
          <t>Q2 2026</t>
        </is>
      </c>
      <c r="D14" t="n">
        <v>4</v>
      </c>
      <c r="E14" t="inlineStr">
        <is>
          <t>[holdings:topicus:organic_growth_pct:Q2 2026]</t>
        </is>
      </c>
    </row>
    <row r="15">
      <c r="A15" t="inlineStr">
        <is>
          <t>topicus</t>
        </is>
      </c>
      <c r="B15" t="inlineStr">
        <is>
          <t>fcfa2s_margin</t>
        </is>
      </c>
      <c r="C15" t="inlineStr">
        <is>
          <t>FY2024</t>
        </is>
      </c>
      <c r="D15" t="n">
        <v>0.136999</v>
      </c>
      <c r="E15" t="inlineStr"/>
    </row>
    <row r="16">
      <c r="A16" t="inlineStr">
        <is>
          <t>topicus</t>
        </is>
      </c>
      <c r="B16" t="inlineStr">
        <is>
          <t>fcfa2s_margin</t>
        </is>
      </c>
      <c r="C16" t="inlineStr">
        <is>
          <t>FY2025</t>
        </is>
      </c>
      <c r="D16" t="n">
        <v>0.140888</v>
      </c>
      <c r="E16" t="inlineStr"/>
    </row>
    <row r="17">
      <c r="A17" t="inlineStr">
        <is>
          <t>topicus</t>
        </is>
      </c>
      <c r="B17" t="inlineStr">
        <is>
          <t>fcfa2s_margin</t>
        </is>
      </c>
      <c r="C17" t="inlineStr">
        <is>
          <t>H1 2026</t>
        </is>
      </c>
      <c r="D17" t="n">
        <v>0.206324</v>
      </c>
      <c r="E17" t="inlineStr"/>
    </row>
    <row r="18">
      <c r="A18" t="inlineStr">
        <is>
          <t>topicus</t>
        </is>
      </c>
      <c r="B18" t="inlineStr">
        <is>
          <t>fcfa2s_margin</t>
        </is>
      </c>
      <c r="C18" t="inlineStr">
        <is>
          <t>Q2 2026</t>
        </is>
      </c>
      <c r="D18" t="n">
        <v>0.033387</v>
      </c>
      <c r="E18" t="inlineStr"/>
    </row>
    <row r="19">
      <c r="A19" t="inlineStr">
        <is>
          <t>topicus</t>
        </is>
      </c>
      <c r="B19" t="inlineStr">
        <is>
          <t>acquisitions_to_fcfa2s</t>
        </is>
      </c>
      <c r="C19" t="inlineStr">
        <is>
          <t>FY2024</t>
        </is>
      </c>
      <c r="D19" t="n">
        <v>0.307779</v>
      </c>
      <c r="E19" t="inlineStr"/>
    </row>
    <row r="20">
      <c r="A20" t="inlineStr">
        <is>
          <t>topicus</t>
        </is>
      </c>
      <c r="B20" t="inlineStr">
        <is>
          <t>acquisitions_to_fcfa2s</t>
        </is>
      </c>
      <c r="C20" t="inlineStr">
        <is>
          <t>FY2025</t>
        </is>
      </c>
      <c r="D20" t="n">
        <v>1.785094</v>
      </c>
      <c r="E20" t="inlineStr"/>
    </row>
    <row r="21">
      <c r="A21" t="inlineStr">
        <is>
          <t>topicus</t>
        </is>
      </c>
      <c r="B21" t="inlineStr">
        <is>
          <t>acquisitions_to_fcfa2s</t>
        </is>
      </c>
      <c r="C21" t="inlineStr">
        <is>
          <t>Q2 2026</t>
        </is>
      </c>
      <c r="D21" t="n">
        <v>2.753425</v>
      </c>
      <c r="E21" t="inlineStr"/>
    </row>
    <row r="22">
      <c r="A22" t="inlineStr">
        <is>
          <t>topicus</t>
        </is>
      </c>
      <c r="B22" t="inlineStr">
        <is>
          <t>net_debt</t>
        </is>
      </c>
      <c r="C22" t="inlineStr">
        <is>
          <t>Q2 2026</t>
        </is>
      </c>
      <c r="D22" t="n">
        <v>127.3</v>
      </c>
      <c r="E22" t="inlineStr"/>
    </row>
    <row r="23">
      <c r="A23" t="inlineStr">
        <is>
          <t>lumine</t>
        </is>
      </c>
      <c r="B23" t="inlineStr">
        <is>
          <t>revenue_growth_yoy</t>
        </is>
      </c>
      <c r="C23" t="inlineStr">
        <is>
          <t>FY2023</t>
        </is>
      </c>
      <c r="E23" t="inlineStr">
        <is>
          <t>lumine revenue_growth_yoy[FY2023]: no FY2022 revenue in holdings.json.</t>
        </is>
      </c>
    </row>
    <row r="24">
      <c r="A24" t="inlineStr">
        <is>
          <t>lumine</t>
        </is>
      </c>
      <c r="B24" t="inlineStr">
        <is>
          <t>revenue_growth_yoy</t>
        </is>
      </c>
      <c r="C24" t="inlineStr">
        <is>
          <t>FY2024</t>
        </is>
      </c>
      <c r="D24" t="n">
        <v>0.337603</v>
      </c>
      <c r="E24" t="inlineStr"/>
    </row>
    <row r="25">
      <c r="A25" t="inlineStr">
        <is>
          <t>lumine</t>
        </is>
      </c>
      <c r="B25" t="inlineStr">
        <is>
          <t>revenue_growth_yoy</t>
        </is>
      </c>
      <c r="C25" t="inlineStr">
        <is>
          <t>FY2025</t>
        </is>
      </c>
      <c r="D25" t="n">
        <v>0.145572</v>
      </c>
      <c r="E25" t="inlineStr"/>
    </row>
    <row r="26">
      <c r="A26" t="inlineStr">
        <is>
          <t>lumine</t>
        </is>
      </c>
      <c r="B26" t="inlineStr">
        <is>
          <t>revenue_growth_yoy</t>
        </is>
      </c>
      <c r="C26" t="inlineStr">
        <is>
          <t>Q1 2026</t>
        </is>
      </c>
      <c r="E26" t="inlineStr">
        <is>
          <t>lumine revenue_growth_yoy[Q1 2026]: no Q1 2025 revenue in holdings.json.</t>
        </is>
      </c>
    </row>
    <row r="27">
      <c r="A27" t="inlineStr">
        <is>
          <t>lumine</t>
        </is>
      </c>
      <c r="B27" t="inlineStr">
        <is>
          <t>revenue_growth_yoy</t>
        </is>
      </c>
      <c r="C27" t="inlineStr">
        <is>
          <t>Q2 2026</t>
        </is>
      </c>
      <c r="E27" t="inlineStr">
        <is>
          <t>lumine revenue_growth_yoy[Q2 2026]: no Q2 2025 revenue in holdings.json.</t>
        </is>
      </c>
    </row>
    <row r="28">
      <c r="A28" t="inlineStr">
        <is>
          <t>lumine</t>
        </is>
      </c>
      <c r="B28" t="inlineStr">
        <is>
          <t>revenue_growth_yoy</t>
        </is>
      </c>
      <c r="C28" t="inlineStr">
        <is>
          <t>H1 2026</t>
        </is>
      </c>
      <c r="E28" t="inlineStr">
        <is>
          <t>lumine revenue_growth_yoy[H1 2026]: no H1 2025 revenue in holdings.json.</t>
        </is>
      </c>
    </row>
    <row r="29">
      <c r="A29" t="inlineStr">
        <is>
          <t>lumine</t>
        </is>
      </c>
      <c r="B29" t="inlineStr">
        <is>
          <t>organic_growth_pct</t>
        </is>
      </c>
      <c r="C29" t="inlineStr">
        <is>
          <t>FY2023</t>
        </is>
      </c>
      <c r="D29" t="n">
        <v>0</v>
      </c>
      <c r="E29" t="inlineStr">
        <is>
          <t>[holdings:lumine:organic_growth_pct:FY2023]</t>
        </is>
      </c>
    </row>
    <row r="30">
      <c r="A30" t="inlineStr">
        <is>
          <t>lumine</t>
        </is>
      </c>
      <c r="B30" t="inlineStr">
        <is>
          <t>organic_growth_pct</t>
        </is>
      </c>
      <c r="C30" t="inlineStr">
        <is>
          <t>FY2024</t>
        </is>
      </c>
      <c r="D30" t="n">
        <v>-8</v>
      </c>
      <c r="E30" t="inlineStr">
        <is>
          <t>[holdings:lumine:organic_growth_pct:FY2024]</t>
        </is>
      </c>
    </row>
    <row r="31">
      <c r="A31" t="inlineStr">
        <is>
          <t>lumine</t>
        </is>
      </c>
      <c r="B31" t="inlineStr">
        <is>
          <t>organic_growth_pct</t>
        </is>
      </c>
      <c r="C31" t="inlineStr">
        <is>
          <t>FY2025</t>
        </is>
      </c>
      <c r="D31" t="n">
        <v>2</v>
      </c>
      <c r="E31" t="inlineStr">
        <is>
          <t>[holdings:lumine:organic_growth_pct:FY2025]</t>
        </is>
      </c>
    </row>
    <row r="32">
      <c r="A32" t="inlineStr">
        <is>
          <t>lumine</t>
        </is>
      </c>
      <c r="B32" t="inlineStr">
        <is>
          <t>organic_growth_pct</t>
        </is>
      </c>
      <c r="C32" t="inlineStr">
        <is>
          <t>Q1 2026</t>
        </is>
      </c>
      <c r="D32" t="n">
        <v>0</v>
      </c>
      <c r="E32" t="inlineStr">
        <is>
          <t>[holdings:lumine:organic_growth_pct:Q1 2026]</t>
        </is>
      </c>
    </row>
    <row r="33">
      <c r="A33" t="inlineStr">
        <is>
          <t>lumine</t>
        </is>
      </c>
      <c r="B33" t="inlineStr">
        <is>
          <t>organic_growth_pct</t>
        </is>
      </c>
      <c r="C33" t="inlineStr">
        <is>
          <t>Q2 2026</t>
        </is>
      </c>
      <c r="D33" t="n">
        <v>1</v>
      </c>
      <c r="E33" t="inlineStr">
        <is>
          <t>[holdings:lumine:organic_growth_pct:Q2 2026]</t>
        </is>
      </c>
    </row>
    <row r="34">
      <c r="A34" t="inlineStr">
        <is>
          <t>lumine</t>
        </is>
      </c>
      <c r="B34" t="inlineStr">
        <is>
          <t>fcfa2s_margin</t>
        </is>
      </c>
      <c r="C34" t="inlineStr">
        <is>
          <t>FY2024</t>
        </is>
      </c>
      <c r="D34" t="n">
        <v>0.128217</v>
      </c>
      <c r="E34" t="inlineStr"/>
    </row>
    <row r="35">
      <c r="A35" t="inlineStr">
        <is>
          <t>lumine</t>
        </is>
      </c>
      <c r="B35" t="inlineStr">
        <is>
          <t>fcfa2s_margin</t>
        </is>
      </c>
      <c r="C35" t="inlineStr">
        <is>
          <t>FY2025</t>
        </is>
      </c>
      <c r="D35" t="n">
        <v>0.283401</v>
      </c>
      <c r="E35" t="inlineStr"/>
    </row>
    <row r="36">
      <c r="A36" t="inlineStr">
        <is>
          <t>lumine</t>
        </is>
      </c>
      <c r="B36" t="inlineStr">
        <is>
          <t>fcfa2s_margin</t>
        </is>
      </c>
      <c r="C36" t="inlineStr">
        <is>
          <t>Q4 2025</t>
        </is>
      </c>
      <c r="E36" t="inlineStr">
        <is>
          <t>lumine fcfa2s_margin[Q4 2025]: no revenue figure for Q4 2025 in holdings.json.</t>
        </is>
      </c>
    </row>
    <row r="37">
      <c r="A37" t="inlineStr">
        <is>
          <t>lumine</t>
        </is>
      </c>
      <c r="B37" t="inlineStr">
        <is>
          <t>fcfa2s_margin</t>
        </is>
      </c>
      <c r="C37" t="inlineStr">
        <is>
          <t>Q1 2026</t>
        </is>
      </c>
      <c r="D37" t="n">
        <v>0.073452</v>
      </c>
      <c r="E37" t="inlineStr"/>
    </row>
    <row r="38">
      <c r="A38" t="inlineStr">
        <is>
          <t>lumine</t>
        </is>
      </c>
      <c r="B38" t="inlineStr">
        <is>
          <t>fcfa2s_margin</t>
        </is>
      </c>
      <c r="C38" t="inlineStr">
        <is>
          <t>Q2 2026</t>
        </is>
      </c>
      <c r="D38" t="n">
        <v>0.256912</v>
      </c>
      <c r="E38" t="inlineStr"/>
    </row>
    <row r="39">
      <c r="A39" t="inlineStr">
        <is>
          <t>lumine</t>
        </is>
      </c>
      <c r="B39" t="inlineStr">
        <is>
          <t>acquisitions_to_fcfa2s</t>
        </is>
      </c>
      <c r="C39" t="inlineStr">
        <is>
          <t>FY2025</t>
        </is>
      </c>
      <c r="D39" t="n">
        <v>1.435484</v>
      </c>
      <c r="E39" t="inlineStr"/>
    </row>
    <row r="40">
      <c r="A40" t="inlineStr">
        <is>
          <t>lumine</t>
        </is>
      </c>
      <c r="B40" t="inlineStr">
        <is>
          <t>net_debt</t>
        </is>
      </c>
      <c r="C40" t="inlineStr">
        <is>
          <t>FY2025</t>
        </is>
      </c>
      <c r="D40" t="n">
        <v>-142.4</v>
      </c>
      <c r="E40" t="inlineStr">
        <is>
          <t>cash figure is third_party (CB Insights), not independently verified against the audited FY2025 balance sheet [holdings:lumine:cash:FY2025]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4" customWidth="1" min="4" max="4"/>
    <col width="60" customWidth="1" min="5" max="5"/>
  </cols>
  <sheetData>
    <row r="1">
      <c r="A1" t="inlineStr">
        <is>
          <t>Share type</t>
        </is>
      </c>
      <c r="B1" t="inlineStr">
        <is>
          <t>Holding</t>
        </is>
      </c>
      <c r="C1" t="inlineStr">
        <is>
          <t>Period</t>
        </is>
      </c>
      <c r="D1" t="inlineStr">
        <is>
          <t>Value</t>
        </is>
      </c>
      <c r="E1" t="inlineStr">
        <is>
          <t>Note</t>
        </is>
      </c>
    </row>
    <row r="2">
      <c r="A2" t="inlineStr">
        <is>
          <t>revenue_share</t>
        </is>
      </c>
      <c r="B2" t="inlineStr">
        <is>
          <t>volaris</t>
        </is>
      </c>
      <c r="C2" t="inlineStr">
        <is>
          <t>FY2024</t>
        </is>
      </c>
      <c r="D2" t="n">
        <v>0.31214</v>
      </c>
      <c r="E2" t="inlineStr">
        <is>
          <t>[volaris] this group's figures carry a conflict/flag in holdings.json (see conflicts); share computed from the sourced value as-is.</t>
        </is>
      </c>
    </row>
    <row r="3">
      <c r="A3" t="inlineStr">
        <is>
          <t>revenue_share</t>
        </is>
      </c>
      <c r="B3" t="inlineStr">
        <is>
          <t>volaris</t>
        </is>
      </c>
      <c r="C3" t="inlineStr">
        <is>
          <t>FY2025</t>
        </is>
      </c>
      <c r="D3" t="n">
        <v>0.261378</v>
      </c>
      <c r="E3" t="inlineStr">
        <is>
          <t>[volaris] this group's figures carry a conflict/flag in holdings.json (see conflicts); share computed from the sourced value as-is.</t>
        </is>
      </c>
    </row>
    <row r="4">
      <c r="A4" t="inlineStr">
        <is>
          <t>revenue_share</t>
        </is>
      </c>
      <c r="B4" t="inlineStr">
        <is>
          <t>volaris</t>
        </is>
      </c>
      <c r="C4" t="inlineStr">
        <is>
          <t>FY2026</t>
        </is>
      </c>
      <c r="E4" t="inlineStr">
        <is>
          <t>volaris revenue_share[FY2026]: parent_long_run.revenue has no FY2026 figure.</t>
        </is>
      </c>
    </row>
    <row r="5">
      <c r="A5" t="inlineStr">
        <is>
          <t>revenue_share</t>
        </is>
      </c>
      <c r="B5" t="inlineStr">
        <is>
          <t>harris</t>
        </is>
      </c>
      <c r="C5" t="inlineStr">
        <is>
          <t>FY2026</t>
        </is>
      </c>
      <c r="E5" t="inlineStr">
        <is>
          <t>harris revenue_share[FY2026]: parent_long_run.revenue has no FY2026 figure.</t>
        </is>
      </c>
    </row>
    <row r="6">
      <c r="A6" t="inlineStr">
        <is>
          <t>revenue_share</t>
        </is>
      </c>
      <c r="B6" t="inlineStr">
        <is>
          <t>jonas</t>
        </is>
      </c>
      <c r="C6" t="inlineStr">
        <is>
          <t>FY2024</t>
        </is>
      </c>
      <c r="D6" t="n">
        <v>0.083469</v>
      </c>
      <c r="E6" t="inlineStr"/>
    </row>
    <row r="7">
      <c r="A7" t="inlineStr">
        <is>
          <t>revenue_share</t>
        </is>
      </c>
      <c r="B7" t="inlineStr">
        <is>
          <t>perseus</t>
        </is>
      </c>
      <c r="C7" t="inlineStr"/>
      <c r="E7" t="inlineStr">
        <is>
          <t>perseus revenue_share: no revenue figure in holdings.json for this group (see gaps).</t>
        </is>
      </c>
    </row>
    <row r="8">
      <c r="A8" t="inlineStr">
        <is>
          <t>revenue_share</t>
        </is>
      </c>
      <c r="B8" t="inlineStr">
        <is>
          <t>vela</t>
        </is>
      </c>
      <c r="C8" t="inlineStr"/>
      <c r="E8" t="inlineStr">
        <is>
          <t>vela revenue_share: no USD-denominated revenue figure in holdings.json for this group.</t>
        </is>
      </c>
    </row>
    <row r="9">
      <c r="A9" t="inlineStr">
        <is>
          <t>revenue_share</t>
        </is>
      </c>
      <c r="B9" t="inlineStr">
        <is>
          <t>topicus</t>
        </is>
      </c>
      <c r="C9" t="inlineStr"/>
      <c r="E9" t="inlineStr">
        <is>
          <t>topicus revenue_share: no USD-denominated revenue figure in holdings.json for this group.</t>
        </is>
      </c>
    </row>
    <row r="10">
      <c r="A10" t="inlineStr">
        <is>
          <t>revenue_share</t>
        </is>
      </c>
      <c r="B10" t="inlineStr">
        <is>
          <t>lumine</t>
        </is>
      </c>
      <c r="C10" t="inlineStr">
        <is>
          <t>FY2023</t>
        </is>
      </c>
      <c r="D10" t="n">
        <v>0.059439</v>
      </c>
      <c r="E10" t="inlineStr"/>
    </row>
    <row r="11">
      <c r="A11" t="inlineStr">
        <is>
          <t>revenue_share</t>
        </is>
      </c>
      <c r="B11" t="inlineStr">
        <is>
          <t>lumine</t>
        </is>
      </c>
      <c r="C11" t="inlineStr">
        <is>
          <t>FY2024</t>
        </is>
      </c>
      <c r="D11" t="n">
        <v>0.066402</v>
      </c>
      <c r="E11" t="inlineStr"/>
    </row>
    <row r="12">
      <c r="A12" t="inlineStr">
        <is>
          <t>revenue_share</t>
        </is>
      </c>
      <c r="B12" t="inlineStr">
        <is>
          <t>lumine</t>
        </is>
      </c>
      <c r="C12" t="inlineStr">
        <is>
          <t>FY2025</t>
        </is>
      </c>
      <c r="D12" t="n">
        <v>0.06587800000000001</v>
      </c>
      <c r="E12" t="inlineStr"/>
    </row>
    <row r="13">
      <c r="A13" t="inlineStr">
        <is>
          <t>revenue_share</t>
        </is>
      </c>
      <c r="B13" t="inlineStr">
        <is>
          <t>lumine</t>
        </is>
      </c>
      <c r="C13" t="inlineStr">
        <is>
          <t>FY2026</t>
        </is>
      </c>
      <c r="E13" t="inlineStr">
        <is>
          <t>lumine revenue_share[FY2026]: parent_long_run.revenue has no FY2026 figure.</t>
        </is>
      </c>
    </row>
    <row r="14">
      <c r="A14" t="inlineStr">
        <is>
          <t>revenue_share</t>
        </is>
      </c>
      <c r="B14" t="inlineStr">
        <is>
          <t>omegro</t>
        </is>
      </c>
      <c r="C14" t="inlineStr"/>
      <c r="E14" t="inlineStr">
        <is>
          <t>omegro revenue_share: no revenue figure in holdings.json for this group (see gaps).</t>
        </is>
      </c>
    </row>
    <row r="15">
      <c r="A15" t="inlineStr">
        <is>
          <t>headcount_share</t>
        </is>
      </c>
      <c r="B15" t="inlineStr">
        <is>
          <t>volaris</t>
        </is>
      </c>
      <c r="C15" t="inlineStr">
        <is>
          <t>~2025</t>
        </is>
      </c>
      <c r="E15" t="inlineStr">
        <is>
          <t>volaris headcount_share[~2025]: parent_long_run.headcount has no figure for year 2025.</t>
        </is>
      </c>
    </row>
    <row r="16">
      <c r="A16" t="inlineStr">
        <is>
          <t>headcount_share</t>
        </is>
      </c>
      <c r="B16" t="inlineStr">
        <is>
          <t>harris</t>
        </is>
      </c>
      <c r="C16" t="inlineStr">
        <is>
          <t>~2025</t>
        </is>
      </c>
      <c r="E16" t="inlineStr">
        <is>
          <t>harris headcount_share[~2025]: parent_long_run.headcount has no figure for year 2025.</t>
        </is>
      </c>
    </row>
    <row r="17">
      <c r="A17" t="inlineStr">
        <is>
          <t>headcount_share</t>
        </is>
      </c>
      <c r="B17" t="inlineStr">
        <is>
          <t>harris</t>
        </is>
      </c>
      <c r="C17" t="inlineStr">
        <is>
          <t>~2024</t>
        </is>
      </c>
      <c r="D17" t="n">
        <v>0.400109</v>
      </c>
      <c r="E17" t="inlineStr">
        <is>
          <t>parent headcount figure is a low-confidence third-party approximation [holdings:parent_long_run:headcount]</t>
        </is>
      </c>
    </row>
    <row r="18">
      <c r="A18" t="inlineStr">
        <is>
          <t>headcount_share</t>
        </is>
      </c>
      <c r="B18" t="inlineStr">
        <is>
          <t>jonas</t>
        </is>
      </c>
      <c r="C18" t="inlineStr">
        <is>
          <t>~2024</t>
        </is>
      </c>
      <c r="D18" t="n">
        <v>0.09375</v>
      </c>
      <c r="E18" t="inlineStr">
        <is>
          <t>parent headcount figure is a low-confidence third-party approximation [holdings:parent_long_run:headcount]</t>
        </is>
      </c>
    </row>
    <row r="19">
      <c r="A19" t="inlineStr">
        <is>
          <t>headcount_share</t>
        </is>
      </c>
      <c r="B19" t="inlineStr">
        <is>
          <t>perseus</t>
        </is>
      </c>
      <c r="C19" t="inlineStr">
        <is>
          <t>~2024</t>
        </is>
      </c>
      <c r="D19" t="n">
        <v>0.09375</v>
      </c>
      <c r="E19" t="inlineStr">
        <is>
          <t>parent headcount figure is a low-confidence third-party approximation [holdings:parent_long_run:headcount]</t>
        </is>
      </c>
    </row>
    <row r="20">
      <c r="A20" t="inlineStr">
        <is>
          <t>headcount_share</t>
        </is>
      </c>
      <c r="B20" t="inlineStr">
        <is>
          <t>vela</t>
        </is>
      </c>
      <c r="C20" t="inlineStr">
        <is>
          <t>~2026</t>
        </is>
      </c>
      <c r="E20" t="inlineStr">
        <is>
          <t>vela headcount_share[~2026]: parent_long_run.headcount has no figure for year 2026.</t>
        </is>
      </c>
    </row>
    <row r="21">
      <c r="A21" t="inlineStr">
        <is>
          <t>headcount_share</t>
        </is>
      </c>
      <c r="B21" t="inlineStr">
        <is>
          <t>vela</t>
        </is>
      </c>
      <c r="C21" t="inlineStr">
        <is>
          <t>~2023</t>
        </is>
      </c>
      <c r="E21" t="inlineStr">
        <is>
          <t>vela headcount_share[~2023]: parent_long_run.headcount has no figure for year 2023.</t>
        </is>
      </c>
    </row>
    <row r="22">
      <c r="A22" t="inlineStr">
        <is>
          <t>headcount_share</t>
        </is>
      </c>
      <c r="B22" t="inlineStr">
        <is>
          <t>topicus</t>
        </is>
      </c>
      <c r="C22" t="inlineStr"/>
      <c r="E22" t="inlineStr">
        <is>
          <t>topicus headcount_share: no employees figure in holdings.json for this group.</t>
        </is>
      </c>
    </row>
    <row r="23">
      <c r="A23" t="inlineStr">
        <is>
          <t>headcount_share</t>
        </is>
      </c>
      <c r="B23" t="inlineStr">
        <is>
          <t>lumine</t>
        </is>
      </c>
      <c r="C23" t="inlineStr"/>
      <c r="E23" t="inlineStr">
        <is>
          <t>lumine headcount_share: no employees figure in holdings.json for this group.</t>
        </is>
      </c>
    </row>
    <row r="24">
      <c r="A24" t="inlineStr">
        <is>
          <t>headcount_share</t>
        </is>
      </c>
      <c r="B24" t="inlineStr">
        <is>
          <t>omegro</t>
        </is>
      </c>
      <c r="C24" t="inlineStr">
        <is>
          <t>~2024</t>
        </is>
      </c>
      <c r="D24" t="n">
        <v>0.03125</v>
      </c>
      <c r="E24" t="inlineStr">
        <is>
          <t>parent headcount figure is a low-confidence third-party approximation [holdings:parent_long_run:headcount]</t>
        </is>
      </c>
    </row>
    <row r="25">
      <c r="A25" t="inlineStr">
        <is>
          <t>business_count_share</t>
        </is>
      </c>
      <c r="B25" t="inlineStr">
        <is>
          <t>volaris</t>
        </is>
      </c>
      <c r="C25" t="inlineStr"/>
      <c r="E25" t="inlineStr">
        <is>
          <t>volaris business_count_share: parent_long_run.business_unit_count is empty -- stage1 parent_long_run.json confirmed no business-unit-count-by-year figure was found for Constellation (see its own gaps list). Not estimated.</t>
        </is>
      </c>
    </row>
    <row r="26">
      <c r="A26" t="inlineStr">
        <is>
          <t>business_count_share</t>
        </is>
      </c>
      <c r="B26" t="inlineStr">
        <is>
          <t>harris</t>
        </is>
      </c>
      <c r="C26" t="inlineStr"/>
      <c r="E26" t="inlineStr">
        <is>
          <t>harris business_count_share: parent_long_run.business_unit_count is empty -- stage1 parent_long_run.json confirmed no business-unit-count-by-year figure was found for Constellation (see its own gaps list). Not estimated.</t>
        </is>
      </c>
    </row>
    <row r="27">
      <c r="A27" t="inlineStr">
        <is>
          <t>business_count_share</t>
        </is>
      </c>
      <c r="B27" t="inlineStr">
        <is>
          <t>jonas</t>
        </is>
      </c>
      <c r="C27" t="inlineStr"/>
      <c r="E27" t="inlineStr">
        <is>
          <t>jonas business_count_share: parent_long_run.business_unit_count is empty -- stage1 parent_long_run.json confirmed no business-unit-count-by-year figure was found for Constellation (see its own gaps list). Not estimated.</t>
        </is>
      </c>
    </row>
    <row r="28">
      <c r="A28" t="inlineStr">
        <is>
          <t>business_count_share</t>
        </is>
      </c>
      <c r="B28" t="inlineStr">
        <is>
          <t>perseus</t>
        </is>
      </c>
      <c r="C28" t="inlineStr"/>
      <c r="E28" t="inlineStr">
        <is>
          <t>perseus business_count_share: parent_long_run.business_unit_count is empty -- stage1 parent_long_run.json confirmed no business-unit-count-by-year figure was found for Constellation (see its own gaps list). Not estimated.</t>
        </is>
      </c>
    </row>
    <row r="29">
      <c r="A29" t="inlineStr">
        <is>
          <t>business_count_share</t>
        </is>
      </c>
      <c r="B29" t="inlineStr">
        <is>
          <t>vela</t>
        </is>
      </c>
      <c r="C29" t="inlineStr"/>
      <c r="E29" t="inlineStr">
        <is>
          <t>vela business_count_share: parent_long_run.business_unit_count is empty -- stage1 parent_long_run.json confirmed no business-unit-count-by-year figure was found for Constellation (see its own gaps list). Not estimated.</t>
        </is>
      </c>
    </row>
    <row r="30">
      <c r="A30" t="inlineStr">
        <is>
          <t>business_count_share</t>
        </is>
      </c>
      <c r="B30" t="inlineStr">
        <is>
          <t>topicus</t>
        </is>
      </c>
      <c r="C30" t="inlineStr"/>
      <c r="E30" t="inlineStr">
        <is>
          <t>topicus business_count_share: parent_long_run.business_unit_count is empty -- stage1 parent_long_run.json confirmed no business-unit-count-by-year figure was found for Constellation (see its own gaps list). Not estimated.</t>
        </is>
      </c>
    </row>
    <row r="31">
      <c r="A31" t="inlineStr">
        <is>
          <t>business_count_share</t>
        </is>
      </c>
      <c r="B31" t="inlineStr">
        <is>
          <t>lumine</t>
        </is>
      </c>
      <c r="C31" t="inlineStr"/>
      <c r="E31" t="inlineStr">
        <is>
          <t>lumine business_count_share: parent_long_run.business_unit_count is empty -- stage1 parent_long_run.json confirmed no business-unit-count-by-year figure was found for Constellation (see its own gaps list). Not estimated.</t>
        </is>
      </c>
    </row>
    <row r="32">
      <c r="A32" t="inlineStr">
        <is>
          <t>business_count_share</t>
        </is>
      </c>
      <c r="B32" t="inlineStr">
        <is>
          <t>omegro</t>
        </is>
      </c>
      <c r="C32" t="inlineStr"/>
      <c r="E32" t="inlineStr">
        <is>
          <t>omegro business_count_share: parent_long_run.business_unit_count is empty -- stage1 parent_long_run.json confirmed no business-unit-count-by-year figure was found for Constellation (see its own gaps list). Not estimated.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26" customWidth="1" min="4" max="4"/>
    <col width="14" customWidth="1" min="5" max="5"/>
    <col width="12" customWidth="1" min="6" max="6"/>
    <col width="8" customWidth="1" min="7" max="7"/>
  </cols>
  <sheetData>
    <row r="1">
      <c r="A1" t="inlineStr">
        <is>
          <t>Name</t>
        </is>
      </c>
      <c r="B1" t="inlineStr">
        <is>
          <t>Input A</t>
        </is>
      </c>
      <c r="C1" t="inlineStr">
        <is>
          <t>Input B</t>
        </is>
      </c>
      <c r="D1" t="inlineStr">
        <is>
          <t>Recomputed (live formula)</t>
        </is>
      </c>
      <c r="E1" t="inlineStr">
        <is>
          <t>Reported</t>
        </is>
      </c>
      <c r="F1" t="inlineStr">
        <is>
          <t>Pct diff</t>
        </is>
      </c>
      <c r="G1" t="inlineStr">
        <is>
          <t>Pass</t>
        </is>
      </c>
    </row>
    <row r="2">
      <c r="A2" t="inlineStr">
        <is>
          <t>lumine_h1_2026_revenue_reconciliation</t>
        </is>
      </c>
      <c r="B2" t="n">
        <v>208.3</v>
      </c>
      <c r="C2" t="n">
        <v>235.1</v>
      </c>
      <c r="D2">
        <f>B2+C2</f>
        <v/>
      </c>
      <c r="E2" t="n">
        <v>443.4</v>
      </c>
      <c r="F2">
        <f>ABS(D2-E2)/E2*100</f>
        <v/>
      </c>
      <c r="G2">
        <f>F2&lt;=1</f>
        <v/>
      </c>
    </row>
    <row r="3">
      <c r="A3" t="inlineStr">
        <is>
          <t>topicus_h1_2025_revenue_reconciliation</t>
        </is>
      </c>
      <c r="B3" t="n">
        <v>355.6</v>
      </c>
      <c r="C3" t="n">
        <v>372</v>
      </c>
      <c r="D3">
        <f>B3+C3</f>
        <v/>
      </c>
      <c r="E3" t="n">
        <v>726.3</v>
      </c>
      <c r="F3">
        <f>ABS(D3-E3)/E3*100</f>
        <v/>
      </c>
      <c r="G3">
        <f>F3&lt;=1</f>
        <v/>
      </c>
    </row>
    <row r="4">
      <c r="A4" t="inlineStr">
        <is>
          <t>topicus_look_through_cross_check</t>
        </is>
      </c>
      <c r="B4" t="n">
        <v>30.35</v>
      </c>
      <c r="C4" t="n">
        <v>8390</v>
      </c>
      <c r="D4">
        <f>B4/100*C4</f>
        <v/>
      </c>
      <c r="E4" t="n">
        <v>2546.365</v>
      </c>
      <c r="F4">
        <f>ABS(D4-E4)/E4*100</f>
        <v/>
      </c>
      <c r="G4">
        <f>F4&lt;=0.001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2026-09-14T00:54:40Z</dcterms:created>
  <dcterms:modified xsi:type="dcterms:W3CDTF">2026-09-14T00:54:40Z</dcterms:modified>
</cp:coreProperties>
</file>