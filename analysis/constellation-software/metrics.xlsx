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Metrics" sheetId="2" state="visible" r:id="rId2"/>
    <sheet name="Valuation" sheetId="3" state="visible" r:id="rId3"/>
    <sheet name="Peers" sheetId="4" state="visible" r:id="rId4"/>
    <sheet name="ScenarioGrid" sheetId="5" state="visible" r:id="rId5"/>
    <sheet name="Post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period</t>
        </is>
      </c>
      <c r="C1" t="inlineStr">
        <is>
          <t>value</t>
        </is>
      </c>
      <c r="D1" t="inlineStr">
        <is>
          <t>unit</t>
        </is>
      </c>
      <c r="E1" t="inlineStr">
        <is>
          <t>source_url</t>
        </is>
      </c>
    </row>
    <row r="2">
      <c r="A2" t="inlineStr">
        <is>
          <t>revenue</t>
        </is>
      </c>
      <c r="B2" t="inlineStr">
        <is>
          <t>FY2022</t>
        </is>
      </c>
      <c r="C2" t="n">
        <v>6622</v>
      </c>
      <c r="D2" t="inlineStr">
        <is>
          <t>USD millions</t>
        </is>
      </c>
      <c r="E2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</row>
    <row r="3">
      <c r="A3" t="inlineStr">
        <is>
          <t>revenue</t>
        </is>
      </c>
      <c r="B3" t="inlineStr">
        <is>
          <t>FY2023</t>
        </is>
      </c>
      <c r="C3" t="n">
        <v>8407</v>
      </c>
      <c r="D3" t="inlineStr">
        <is>
          <t>USD millions</t>
        </is>
      </c>
      <c r="E3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</row>
    <row r="4">
      <c r="A4" t="inlineStr">
        <is>
          <t>revenue</t>
        </is>
      </c>
      <c r="B4" t="inlineStr">
        <is>
          <t>FY2024</t>
        </is>
      </c>
      <c r="C4" t="n">
        <v>10066</v>
      </c>
      <c r="D4" t="inlineStr">
        <is>
          <t>USD millions</t>
        </is>
      </c>
      <c r="E4" t="inlineStr">
        <is>
          <t>https://www.csisoftware.com/constellation-software-inc-announces-results-for-the-fourth-quarter-and-year-ended-december-31-2024-and-declares-quarterly-dividend/</t>
        </is>
      </c>
    </row>
    <row r="5">
      <c r="A5" t="inlineStr">
        <is>
          <t>revenue</t>
        </is>
      </c>
      <c r="B5" t="inlineStr">
        <is>
          <t>FY2025</t>
        </is>
      </c>
      <c r="C5" t="n">
        <v>11623</v>
      </c>
      <c r="D5" t="inlineStr">
        <is>
          <t>USD millions</t>
        </is>
      </c>
      <c r="E5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</row>
    <row r="6">
      <c r="A6" t="inlineStr">
        <is>
          <t>revenue</t>
        </is>
      </c>
      <c r="B6" t="inlineStr">
        <is>
          <t>Q1 2025</t>
        </is>
      </c>
      <c r="C6" t="n">
        <v>2650</v>
      </c>
      <c r="D6" t="inlineStr">
        <is>
          <t>USD millions</t>
        </is>
      </c>
      <c r="E6" t="inlineStr">
        <is>
          <t>https://finance.yahoo.com/news/constellation-software-first-quarter-2025-135734558.html</t>
        </is>
      </c>
    </row>
    <row r="7">
      <c r="A7" t="inlineStr">
        <is>
          <t>revenue</t>
        </is>
      </c>
      <c r="B7" t="inlineStr">
        <is>
          <t>Q1 2026</t>
        </is>
      </c>
      <c r="C7" t="n">
        <v>3181</v>
      </c>
      <c r="D7" t="inlineStr">
        <is>
          <t>USD millions</t>
        </is>
      </c>
      <c r="E7" t="inlineStr">
        <is>
          <t>https://www.csisoftware.com/constellation-software-inc-announces-results-for-the-first-quarter-ended-march-31-2026-and-declares-quarterly-dividend/</t>
        </is>
      </c>
    </row>
    <row r="8">
      <c r="A8" t="inlineStr">
        <is>
          <t>revenue</t>
        </is>
      </c>
      <c r="B8" t="inlineStr">
        <is>
          <t>Q2 2025</t>
        </is>
      </c>
      <c r="C8" t="n">
        <v>2844</v>
      </c>
      <c r="D8" t="inlineStr">
        <is>
          <t>USD millions</t>
        </is>
      </c>
      <c r="E8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9">
      <c r="A9" t="inlineStr">
        <is>
          <t>revenue</t>
        </is>
      </c>
      <c r="B9" t="inlineStr">
        <is>
          <t>Q2 2026</t>
        </is>
      </c>
      <c r="C9" t="n">
        <v>3335</v>
      </c>
      <c r="D9" t="inlineStr">
        <is>
          <t>USD millions</t>
        </is>
      </c>
      <c r="E9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10">
      <c r="A10" t="inlineStr">
        <is>
          <t>revenue</t>
        </is>
      </c>
      <c r="B10" t="inlineStr">
        <is>
          <t>H1 2025</t>
        </is>
      </c>
      <c r="C10" t="n">
        <v>5498</v>
      </c>
      <c r="D10" t="inlineStr">
        <is>
          <t>USD millions</t>
        </is>
      </c>
      <c r="E10" t="inlineStr">
        <is>
          <t>https://www.csisoftware.com/constellation-software-inc-announces-results-for-the-second-quarter-ended-june-30-2026-and-declares-quarterly-dividend/</t>
        </is>
      </c>
    </row>
    <row r="11">
      <c r="A11" t="inlineStr">
        <is>
          <t>revenue</t>
        </is>
      </c>
      <c r="B11" t="inlineStr">
        <is>
          <t>H1 2026</t>
        </is>
      </c>
      <c r="C11" t="n">
        <v>6516</v>
      </c>
      <c r="D11" t="inlineStr">
        <is>
          <t>USD millions</t>
        </is>
      </c>
      <c r="E11" t="inlineStr">
        <is>
          <t>https://www.csisoftware.com/constellation-software-inc-announces-results-for-the-second-quarter-ended-june-30-2026-and-declares-quarterly-dividend/</t>
        </is>
      </c>
    </row>
    <row r="12">
      <c r="A12" t="inlineStr">
        <is>
          <t>maintenance_recurring_revenue</t>
        </is>
      </c>
      <c r="B12" t="inlineStr">
        <is>
          <t>FY2023</t>
        </is>
      </c>
      <c r="C12" t="n">
        <v>5985</v>
      </c>
      <c r="D12" t="inlineStr">
        <is>
          <t>USD millions</t>
        </is>
      </c>
      <c r="E12" t="inlineStr">
        <is>
          <t>https://www.csisoftware.com/docs/default-source/investor-relations/statutory-filings/q4-2023-shareholder-report.pdf?sfvrsn=91ffcfe7_3</t>
        </is>
      </c>
    </row>
    <row r="13">
      <c r="A13" t="inlineStr">
        <is>
          <t>maintenance_recurring_revenue</t>
        </is>
      </c>
      <c r="B13" t="inlineStr">
        <is>
          <t>FY2024</t>
        </is>
      </c>
      <c r="C13" t="n">
        <v>7396</v>
      </c>
      <c r="D13" t="inlineStr">
        <is>
          <t>USD millions</t>
        </is>
      </c>
      <c r="E13" t="inlineStr">
        <is>
          <t>https://www.csisoftware.com/docs/default-source/press-releases/csi---press-release-q4-2024---final.pdf?sfvrsn=a6da3ec_3/+CSI---Press-Release-Q4-2024---Final+.pdf</t>
        </is>
      </c>
    </row>
    <row r="14">
      <c r="A14" t="inlineStr">
        <is>
          <t>maintenance_recurring_revenue</t>
        </is>
      </c>
      <c r="B14" t="inlineStr">
        <is>
          <t>Q1 2025</t>
        </is>
      </c>
      <c r="C14" t="n">
        <v>1996</v>
      </c>
      <c r="D14" t="inlineStr">
        <is>
          <t>USD millions</t>
        </is>
      </c>
      <c r="E14" t="inlineStr">
        <is>
          <t>https://quartr.com/events/constellation-software-inc-csu-q1-2025_33rGRbqH</t>
        </is>
      </c>
    </row>
    <row r="15">
      <c r="A15" t="inlineStr">
        <is>
          <t>maintenance_recurring_revenue</t>
        </is>
      </c>
      <c r="B15" t="inlineStr">
        <is>
          <t>Q1 2026</t>
        </is>
      </c>
      <c r="C15" t="n">
        <v>2440</v>
      </c>
      <c r="D15" t="inlineStr">
        <is>
          <t>USD millions</t>
        </is>
      </c>
      <c r="E15" t="inlineStr">
        <is>
          <t>https://x.com/rebound_capital/status/2054557849347404278</t>
        </is>
      </c>
    </row>
    <row r="16">
      <c r="A16" t="inlineStr">
        <is>
          <t>maintenance_recurring_revenue</t>
        </is>
      </c>
      <c r="B16" t="inlineStr">
        <is>
          <t>Q2 2026</t>
        </is>
      </c>
      <c r="C16" t="n">
        <v>2554</v>
      </c>
      <c r="D16" t="inlineStr">
        <is>
          <t>USD millions</t>
        </is>
      </c>
      <c r="E16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17">
      <c r="A17" t="inlineStr">
        <is>
          <t>maintenance_recurring_revenue</t>
        </is>
      </c>
      <c r="B17" t="inlineStr">
        <is>
          <t>H1 2026</t>
        </is>
      </c>
      <c r="C17" t="n">
        <v>4994</v>
      </c>
      <c r="D17" t="inlineStr">
        <is>
          <t>USD millions</t>
        </is>
      </c>
      <c r="E17" t="inlineStr">
        <is>
          <t>https://www.csisoftware.com/constellation-software-inc-announces-results-for-the-first-quarter-ended-march-31-2026-and-declares-quarterly-dividend/</t>
        </is>
      </c>
    </row>
    <row r="18">
      <c r="A18" t="inlineStr">
        <is>
          <t>organic_growth_pct</t>
        </is>
      </c>
      <c r="B18" t="inlineStr">
        <is>
          <t>FY2022</t>
        </is>
      </c>
      <c r="C18" t="n">
        <v>-1</v>
      </c>
      <c r="D18" t="inlineStr">
        <is>
          <t>percent</t>
        </is>
      </c>
      <c r="E18" t="inlineStr">
        <is>
          <t>https://www.speedwellmemos.com/p/constellation-software-2022-earnings</t>
        </is>
      </c>
    </row>
    <row r="19">
      <c r="A19" t="inlineStr">
        <is>
          <t>organic_growth_pct</t>
        </is>
      </c>
      <c r="B19" t="inlineStr">
        <is>
          <t>FY2023</t>
        </is>
      </c>
      <c r="C19" t="n">
        <v>5</v>
      </c>
      <c r="D19" t="inlineStr">
        <is>
          <t>percent</t>
        </is>
      </c>
      <c r="E19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</row>
    <row r="20">
      <c r="A20" t="inlineStr">
        <is>
          <t>organic_growth_pct</t>
        </is>
      </c>
      <c r="B20" t="inlineStr">
        <is>
          <t>FY2024</t>
        </is>
      </c>
      <c r="C20" t="n">
        <v>2</v>
      </c>
      <c r="D20" t="inlineStr">
        <is>
          <t>percent</t>
        </is>
      </c>
      <c r="E20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</row>
    <row r="21">
      <c r="A21" t="inlineStr">
        <is>
          <t>organic_growth_pct</t>
        </is>
      </c>
      <c r="B21" t="inlineStr">
        <is>
          <t>FY2025</t>
        </is>
      </c>
      <c r="C21" t="n">
        <v>4</v>
      </c>
      <c r="D21" t="inlineStr">
        <is>
          <t>percent</t>
        </is>
      </c>
      <c r="E21" t="inlineStr">
        <is>
          <t>https://thepursuitofcompounding.substack.com/p/constellation-software-inc-fiscal</t>
        </is>
      </c>
    </row>
    <row r="22">
      <c r="A22" t="inlineStr">
        <is>
          <t>organic_growth_pct</t>
        </is>
      </c>
      <c r="B22" t="inlineStr">
        <is>
          <t>Q1 2025</t>
        </is>
      </c>
      <c r="C22" t="n">
        <v>0.3</v>
      </c>
      <c r="D22" t="inlineStr">
        <is>
          <t>percent</t>
        </is>
      </c>
      <c r="E22" t="inlineStr">
        <is>
          <t>https://www.csisoftware.com/docs/default-source/press-releases/csi---press-release-q1-2025---final.pdf?sfvrsn=f9d1211d_3/</t>
        </is>
      </c>
    </row>
    <row r="23">
      <c r="A23" t="inlineStr">
        <is>
          <t>organic_growth_pct</t>
        </is>
      </c>
      <c r="B23" t="inlineStr">
        <is>
          <t>Q1 2026</t>
        </is>
      </c>
      <c r="C23" t="n">
        <v>6</v>
      </c>
      <c r="D23" t="inlineStr">
        <is>
          <t>percent</t>
        </is>
      </c>
      <c r="E23" t="inlineStr">
        <is>
          <t>https://www.marketscreener.com/news/constellation-software-inc-reports-earnings-results-for-the-first-quarter-ended-march-31-2026-ce7f5bdfda8bf121</t>
        </is>
      </c>
    </row>
    <row r="24">
      <c r="A24" t="inlineStr">
        <is>
          <t>organic_growth_pct</t>
        </is>
      </c>
      <c r="B24" t="inlineStr">
        <is>
          <t>Q2 2025</t>
        </is>
      </c>
      <c r="C24" t="n">
        <v>5</v>
      </c>
      <c r="D24" t="inlineStr">
        <is>
          <t>percent</t>
        </is>
      </c>
      <c r="E24" t="inlineStr">
        <is>
          <t>https://finance.yahoo.com/news/constellation-software-second-quarter-2025-123135751.html</t>
        </is>
      </c>
    </row>
    <row r="25">
      <c r="A25" t="inlineStr">
        <is>
          <t>organic_growth_pct</t>
        </is>
      </c>
      <c r="B25" t="inlineStr">
        <is>
          <t>Q2 2026</t>
        </is>
      </c>
      <c r="C25" t="n">
        <v>3</v>
      </c>
      <c r="D25" t="inlineStr">
        <is>
          <t>percent</t>
        </is>
      </c>
      <c r="E25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26">
      <c r="A26" t="inlineStr">
        <is>
          <t>organic_growth_pct</t>
        </is>
      </c>
      <c r="B26" t="inlineStr">
        <is>
          <t>H1 2026</t>
        </is>
      </c>
      <c r="C26" t="n">
        <v>4</v>
      </c>
      <c r="D26" t="inlineStr">
        <is>
          <t>percent</t>
        </is>
      </c>
      <c r="E26" t="inlineStr">
        <is>
          <t>https://www.csisoftware.com/constellation-software-inc-announces-results-for-the-second-quarter-ended-june-30-2026-and-declares-quarterly-dividend/</t>
        </is>
      </c>
    </row>
    <row r="27">
      <c r="A27" t="inlineStr">
        <is>
          <t>organic_growth_fx_adj_pct</t>
        </is>
      </c>
      <c r="B27" t="inlineStr">
        <is>
          <t>FY2025</t>
        </is>
      </c>
      <c r="C27" t="n">
        <v>3</v>
      </c>
      <c r="D27" t="inlineStr">
        <is>
          <t>percent</t>
        </is>
      </c>
      <c r="E27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</row>
    <row r="28">
      <c r="A28" t="inlineStr">
        <is>
          <t>organic_growth_fx_adj_pct</t>
        </is>
      </c>
      <c r="B28" t="inlineStr">
        <is>
          <t>Q1 2025</t>
        </is>
      </c>
      <c r="C28" t="n">
        <v>2</v>
      </c>
      <c r="D28" t="inlineStr">
        <is>
          <t>percent</t>
        </is>
      </c>
      <c r="E28" t="inlineStr">
        <is>
          <t>https://www.csisoftware.com/docs/default-source/press-releases/csi---press-release-q1-2025---final.pdf?sfvrsn=f9d1211d_3/</t>
        </is>
      </c>
    </row>
    <row r="29">
      <c r="A29" t="inlineStr">
        <is>
          <t>organic_growth_fx_adj_pct</t>
        </is>
      </c>
      <c r="B29" t="inlineStr">
        <is>
          <t>Q1 2026</t>
        </is>
      </c>
      <c r="C29" t="n">
        <v>2</v>
      </c>
      <c r="D29" t="inlineStr">
        <is>
          <t>percent</t>
        </is>
      </c>
      <c r="E29" t="inlineStr">
        <is>
          <t>https://www.marketscreener.com/news/constellation-software-inc-reports-earnings-results-for-the-first-quarter-ended-march-31-2026-ce7f5bdfda8bf121</t>
        </is>
      </c>
    </row>
    <row r="30">
      <c r="A30" t="inlineStr">
        <is>
          <t>organic_growth_fx_adj_pct</t>
        </is>
      </c>
      <c r="B30" t="inlineStr">
        <is>
          <t>Q2 2025</t>
        </is>
      </c>
      <c r="C30" t="n">
        <v>4</v>
      </c>
      <c r="D30" t="inlineStr">
        <is>
          <t>percent</t>
        </is>
      </c>
      <c r="E30" t="inlineStr">
        <is>
          <t>https://finance.yahoo.com/news/constellation-software-second-quarter-2025-123135751.html</t>
        </is>
      </c>
    </row>
    <row r="31">
      <c r="A31" t="inlineStr">
        <is>
          <t>organic_growth_fx_adj_pct</t>
        </is>
      </c>
      <c r="B31" t="inlineStr">
        <is>
          <t>Q2 2026</t>
        </is>
      </c>
      <c r="C31" t="n">
        <v>1</v>
      </c>
      <c r="D31" t="inlineStr">
        <is>
          <t>percent</t>
        </is>
      </c>
      <c r="E31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32">
      <c r="A32" t="inlineStr">
        <is>
          <t>organic_growth_fx_adj_pct</t>
        </is>
      </c>
      <c r="B32" t="inlineStr">
        <is>
          <t>H1 2026</t>
        </is>
      </c>
      <c r="C32" t="n">
        <v>1</v>
      </c>
      <c r="D32" t="inlineStr">
        <is>
          <t>percent</t>
        </is>
      </c>
      <c r="E32" t="inlineStr">
        <is>
          <t>https://www.csisoftware.com/constellation-software-inc-announces-results-for-the-second-quarter-ended-june-30-2026-and-declares-quarterly-dividend/</t>
        </is>
      </c>
    </row>
    <row r="33">
      <c r="A33" t="inlineStr">
        <is>
          <t>net_income_attributable</t>
        </is>
      </c>
      <c r="B33" t="inlineStr">
        <is>
          <t>FY2022</t>
        </is>
      </c>
      <c r="C33" t="n">
        <v>512</v>
      </c>
      <c r="D33" t="inlineStr">
        <is>
          <t>USD millions</t>
        </is>
      </c>
      <c r="E33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</row>
    <row r="34">
      <c r="A34" t="inlineStr">
        <is>
          <t>net_income_attributable</t>
        </is>
      </c>
      <c r="B34" t="inlineStr">
        <is>
          <t>FY2023</t>
        </is>
      </c>
      <c r="C34" t="n">
        <v>565</v>
      </c>
      <c r="D34" t="inlineStr">
        <is>
          <t>USD millions</t>
        </is>
      </c>
      <c r="E34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</row>
    <row r="35">
      <c r="A35" t="inlineStr">
        <is>
          <t>net_income_attributable</t>
        </is>
      </c>
      <c r="B35" t="inlineStr">
        <is>
          <t>FY2024</t>
        </is>
      </c>
      <c r="C35" t="n">
        <v>731</v>
      </c>
      <c r="D35" t="inlineStr">
        <is>
          <t>USD millions</t>
        </is>
      </c>
      <c r="E35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</row>
    <row r="36">
      <c r="A36" t="inlineStr">
        <is>
          <t>net_income_attributable</t>
        </is>
      </c>
      <c r="B36" t="inlineStr">
        <is>
          <t>FY2025</t>
        </is>
      </c>
      <c r="C36" t="n">
        <v>512</v>
      </c>
      <c r="D36" t="inlineStr">
        <is>
          <t>USD millions</t>
        </is>
      </c>
      <c r="E36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</row>
    <row r="37">
      <c r="A37" t="inlineStr">
        <is>
          <t>net_income_attributable</t>
        </is>
      </c>
      <c r="B37" t="inlineStr">
        <is>
          <t>Q1 2025</t>
        </is>
      </c>
      <c r="C37" t="n">
        <v>136</v>
      </c>
      <c r="D37" t="inlineStr">
        <is>
          <t>USD millions</t>
        </is>
      </c>
      <c r="E37" t="inlineStr">
        <is>
          <t>https://www.rttnews.com/3651605/constellation-software-q1-profit-revenue-increase.aspx</t>
        </is>
      </c>
    </row>
    <row r="38">
      <c r="A38" t="inlineStr">
        <is>
          <t>net_income_attributable</t>
        </is>
      </c>
      <c r="B38" t="inlineStr">
        <is>
          <t>Q1 2026</t>
        </is>
      </c>
      <c r="C38" t="n">
        <v>367</v>
      </c>
      <c r="D38" t="inlineStr">
        <is>
          <t>USD millions</t>
        </is>
      </c>
      <c r="E38" t="inlineStr">
        <is>
          <t>https://www.globenewswire.com/news-release/2026/05/12/3293525/0/en/constellation-software-inc-announces-results-for-the-first-quarter-ended-march-31-2026-and-declares-quarterly-dividend.html</t>
        </is>
      </c>
    </row>
    <row r="39">
      <c r="A39" t="inlineStr">
        <is>
          <t>net_income_attributable</t>
        </is>
      </c>
      <c r="B39" t="inlineStr">
        <is>
          <t>Q2 2025</t>
        </is>
      </c>
      <c r="C39" t="n">
        <v>56</v>
      </c>
      <c r="D39" t="inlineStr">
        <is>
          <t>USD millions</t>
        </is>
      </c>
      <c r="E39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40">
      <c r="A40" t="inlineStr">
        <is>
          <t>net_income_attributable</t>
        </is>
      </c>
      <c r="B40" t="inlineStr">
        <is>
          <t>Q2 2026</t>
        </is>
      </c>
      <c r="C40" t="n">
        <v>274</v>
      </c>
      <c r="D40" t="inlineStr">
        <is>
          <t>USD millions</t>
        </is>
      </c>
      <c r="E40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41">
      <c r="A41" t="inlineStr">
        <is>
          <t>net_income_attributable</t>
        </is>
      </c>
      <c r="B41" t="inlineStr">
        <is>
          <t>H1 2025</t>
        </is>
      </c>
      <c r="C41" t="n">
        <v>192</v>
      </c>
      <c r="D41" t="inlineStr">
        <is>
          <t>USD millions</t>
        </is>
      </c>
      <c r="E41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42">
      <c r="A42" t="inlineStr">
        <is>
          <t>net_income_attributable</t>
        </is>
      </c>
      <c r="B42" t="inlineStr">
        <is>
          <t>H1 2026</t>
        </is>
      </c>
      <c r="C42" t="n">
        <v>641</v>
      </c>
      <c r="D42" t="inlineStr">
        <is>
          <t>USD millions</t>
        </is>
      </c>
      <c r="E42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43">
      <c r="A43" t="inlineStr">
        <is>
          <t>diluted_eps</t>
        </is>
      </c>
      <c r="B43" t="inlineStr">
        <is>
          <t>FY2022</t>
        </is>
      </c>
      <c r="C43" t="n">
        <v>24.16</v>
      </c>
      <c r="D43" t="inlineStr">
        <is>
          <t>USD</t>
        </is>
      </c>
      <c r="E43" t="inlineStr">
        <is>
          <t>https://finance.yahoo.com/news/constellation-software-full-2023-earnings-110310762.html</t>
        </is>
      </c>
    </row>
    <row r="44">
      <c r="A44" t="inlineStr">
        <is>
          <t>diluted_eps</t>
        </is>
      </c>
      <c r="B44" t="inlineStr">
        <is>
          <t>FY2023</t>
        </is>
      </c>
      <c r="C44" t="n">
        <v>26.67</v>
      </c>
      <c r="D44" t="inlineStr">
        <is>
          <t>USD</t>
        </is>
      </c>
      <c r="E44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</row>
    <row r="45">
      <c r="A45" t="inlineStr">
        <is>
          <t>diluted_eps</t>
        </is>
      </c>
      <c r="B45" t="inlineStr">
        <is>
          <t>FY2024</t>
        </is>
      </c>
      <c r="C45" t="n">
        <v>34.48</v>
      </c>
      <c r="D45" t="inlineStr">
        <is>
          <t>USD</t>
        </is>
      </c>
      <c r="E45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</row>
    <row r="46">
      <c r="A46" t="inlineStr">
        <is>
          <t>diluted_eps</t>
        </is>
      </c>
      <c r="B46" t="inlineStr">
        <is>
          <t>FY2025</t>
        </is>
      </c>
      <c r="C46" t="n">
        <v>24.15</v>
      </c>
      <c r="D46" t="inlineStr">
        <is>
          <t>USD</t>
        </is>
      </c>
      <c r="E46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</row>
    <row r="47">
      <c r="A47" t="inlineStr">
        <is>
          <t>diluted_eps</t>
        </is>
      </c>
      <c r="B47" t="inlineStr">
        <is>
          <t>Q1 2025</t>
        </is>
      </c>
      <c r="C47" t="n">
        <v>6.41</v>
      </c>
      <c r="D47" t="inlineStr">
        <is>
          <t>USD</t>
        </is>
      </c>
      <c r="E47" t="inlineStr">
        <is>
          <t>https://www.rttnews.com/3651605/constellation-software-q1-profit-revenue-increase.aspx</t>
        </is>
      </c>
    </row>
    <row r="48">
      <c r="A48" t="inlineStr">
        <is>
          <t>diluted_eps</t>
        </is>
      </c>
      <c r="B48" t="inlineStr">
        <is>
          <t>Q1 2026</t>
        </is>
      </c>
      <c r="C48" t="n">
        <v>17.32</v>
      </c>
      <c r="D48" t="inlineStr">
        <is>
          <t>USD</t>
        </is>
      </c>
      <c r="E48" t="inlineStr">
        <is>
          <t>https://www.globenewswire.com/news-release/2026/05/12/3293525/0/en/constellation-software-inc-announces-results-for-the-first-quarter-ended-march-31-2026-and-declares-quarterly-dividend.html</t>
        </is>
      </c>
    </row>
    <row r="49">
      <c r="A49" t="inlineStr">
        <is>
          <t>diluted_eps</t>
        </is>
      </c>
      <c r="B49" t="inlineStr">
        <is>
          <t>Q2 2025</t>
        </is>
      </c>
      <c r="C49" t="n">
        <v>2.66</v>
      </c>
      <c r="D49" t="inlineStr">
        <is>
          <t>USD</t>
        </is>
      </c>
      <c r="E49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50">
      <c r="A50" t="inlineStr">
        <is>
          <t>diluted_eps</t>
        </is>
      </c>
      <c r="B50" t="inlineStr">
        <is>
          <t>Q2 2026</t>
        </is>
      </c>
      <c r="C50" t="n">
        <v>12.93</v>
      </c>
      <c r="D50" t="inlineStr">
        <is>
          <t>USD</t>
        </is>
      </c>
      <c r="E50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51">
      <c r="A51" t="inlineStr">
        <is>
          <t>diluted_eps</t>
        </is>
      </c>
      <c r="B51" t="inlineStr">
        <is>
          <t>H1 2025</t>
        </is>
      </c>
      <c r="C51" t="n">
        <v>9.07</v>
      </c>
      <c r="D51" t="inlineStr">
        <is>
          <t>USD</t>
        </is>
      </c>
      <c r="E51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52">
      <c r="A52" t="inlineStr">
        <is>
          <t>diluted_eps</t>
        </is>
      </c>
      <c r="B52" t="inlineStr">
        <is>
          <t>H1 2026</t>
        </is>
      </c>
      <c r="C52" t="n">
        <v>30.25</v>
      </c>
      <c r="D52" t="inlineStr">
        <is>
          <t>USD</t>
        </is>
      </c>
      <c r="E52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53">
      <c r="A53" t="inlineStr">
        <is>
          <t>cash_from_operations</t>
        </is>
      </c>
      <c r="B53" t="inlineStr">
        <is>
          <t>FY2023</t>
        </is>
      </c>
      <c r="C53" t="n">
        <v>1779</v>
      </c>
      <c r="D53" t="inlineStr">
        <is>
          <t>USD millions</t>
        </is>
      </c>
      <c r="E53" t="inlineStr">
        <is>
          <t>https://www.csisoftware.com/docs/default-source/investor-relations/statutory-filings/q4-2023-shareholder-report.pdf?sfvrsn=91ffcfe7_3</t>
        </is>
      </c>
    </row>
    <row r="54">
      <c r="A54" t="inlineStr">
        <is>
          <t>cash_from_operations</t>
        </is>
      </c>
      <c r="B54" t="inlineStr">
        <is>
          <t>FY2024</t>
        </is>
      </c>
      <c r="C54" t="n">
        <v>2196</v>
      </c>
      <c r="D54" t="inlineStr">
        <is>
          <t>USD millions</t>
        </is>
      </c>
      <c r="E54" t="inlineStr">
        <is>
          <t>https://www.csisoftware.com/constellation-software-inc-announces-results-for-the-fourth-quarter-and-year-ended-december-31-2024-and-declares-quarterly-dividend/</t>
        </is>
      </c>
    </row>
    <row r="55">
      <c r="A55" t="inlineStr">
        <is>
          <t>cash_from_operations</t>
        </is>
      </c>
      <c r="B55" t="inlineStr">
        <is>
          <t>FY2025</t>
        </is>
      </c>
      <c r="C55" t="n">
        <v>2732</v>
      </c>
      <c r="D55" t="inlineStr">
        <is>
          <t>USD millions</t>
        </is>
      </c>
      <c r="E55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</row>
    <row r="56">
      <c r="A56" t="inlineStr">
        <is>
          <t>cash_from_operations</t>
        </is>
      </c>
      <c r="B56" t="inlineStr">
        <is>
          <t>Q1 2025</t>
        </is>
      </c>
      <c r="C56" t="n">
        <v>827</v>
      </c>
      <c r="D56" t="inlineStr">
        <is>
          <t>USD millions</t>
        </is>
      </c>
      <c r="E56" t="inlineStr">
        <is>
          <t>https://www.globenewswire.com/news-release/2026/05/12/3293525/0/en/constellation-software-inc-announces-results-for-the-first-quarter-ended-march-31-2026-and-declares-quarterly-dividend.html</t>
        </is>
      </c>
    </row>
    <row r="57">
      <c r="A57" t="inlineStr">
        <is>
          <t>cash_from_operations</t>
        </is>
      </c>
      <c r="B57" t="inlineStr">
        <is>
          <t>Q1 2026</t>
        </is>
      </c>
      <c r="C57" t="n">
        <v>897</v>
      </c>
      <c r="D57" t="inlineStr">
        <is>
          <t>USD millions</t>
        </is>
      </c>
      <c r="E57" t="inlineStr">
        <is>
          <t>https://www.globenewswire.com/news-release/2026/05/12/3293525/0/en/constellation-software-inc-announces-results-for-the-first-quarter-ended-march-31-2026-and-declares-quarterly-dividend.html</t>
        </is>
      </c>
    </row>
    <row r="58">
      <c r="A58" t="inlineStr">
        <is>
          <t>cash_from_operations</t>
        </is>
      </c>
      <c r="B58" t="inlineStr">
        <is>
          <t>Q2 2025</t>
        </is>
      </c>
      <c r="C58" t="n">
        <v>433</v>
      </c>
      <c r="D58" t="inlineStr">
        <is>
          <t>USD millions</t>
        </is>
      </c>
      <c r="E58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59">
      <c r="A59" t="inlineStr">
        <is>
          <t>cash_from_operations</t>
        </is>
      </c>
      <c r="B59" t="inlineStr">
        <is>
          <t>Q2 2026</t>
        </is>
      </c>
      <c r="C59" t="n">
        <v>477</v>
      </c>
      <c r="D59" t="inlineStr">
        <is>
          <t>USD millions</t>
        </is>
      </c>
      <c r="E59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60">
      <c r="A60" t="inlineStr">
        <is>
          <t>cash_from_operations</t>
        </is>
      </c>
      <c r="B60" t="inlineStr">
        <is>
          <t>H1 2025</t>
        </is>
      </c>
      <c r="C60" t="n">
        <v>1260</v>
      </c>
      <c r="D60" t="inlineStr">
        <is>
          <t>USD millions</t>
        </is>
      </c>
      <c r="E60" t="inlineStr">
        <is>
          <t>https://www.csisoftware.com/constellation-software-inc-announces-results-for-the-second-quarter-ended-june-30-2026-and-declares-quarterly-dividend/</t>
        </is>
      </c>
    </row>
    <row r="61">
      <c r="A61" t="inlineStr">
        <is>
          <t>cash_from_operations</t>
        </is>
      </c>
      <c r="B61" t="inlineStr">
        <is>
          <t>H1 2026</t>
        </is>
      </c>
      <c r="C61" t="n">
        <v>1374</v>
      </c>
      <c r="D61" t="inlineStr">
        <is>
          <t>USD millions</t>
        </is>
      </c>
      <c r="E61" t="inlineStr">
        <is>
          <t>https://www.csisoftware.com/constellation-software-inc-announces-results-for-the-second-quarter-ended-june-30-2026-and-declares-quarterly-dividend/</t>
        </is>
      </c>
    </row>
    <row r="62">
      <c r="A62" t="inlineStr">
        <is>
          <t>fcfa2s</t>
        </is>
      </c>
      <c r="B62" t="inlineStr">
        <is>
          <t>FY2022</t>
        </is>
      </c>
      <c r="C62" t="n">
        <v>853</v>
      </c>
      <c r="D62" t="inlineStr">
        <is>
          <t>USD millions</t>
        </is>
      </c>
      <c r="E62" t="inlineStr">
        <is>
          <t>https://www.csisoftware.com/docs/default-source/investor-relations/statutory-filings/csi---mda-q4-2023---final.pdf?sfvrsn=47d7de81_3</t>
        </is>
      </c>
    </row>
    <row r="63">
      <c r="A63" t="inlineStr">
        <is>
          <t>fcfa2s</t>
        </is>
      </c>
      <c r="B63" t="inlineStr">
        <is>
          <t>FY2023</t>
        </is>
      </c>
      <c r="C63" t="n">
        <v>1160</v>
      </c>
      <c r="D63" t="inlineStr">
        <is>
          <t>USD millions</t>
        </is>
      </c>
      <c r="E63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</row>
    <row r="64">
      <c r="A64" t="inlineStr">
        <is>
          <t>fcfa2s</t>
        </is>
      </c>
      <c r="B64" t="inlineStr">
        <is>
          <t>FY2024</t>
        </is>
      </c>
      <c r="C64" t="n">
        <v>1472</v>
      </c>
      <c r="D64" t="inlineStr">
        <is>
          <t>USD millions</t>
        </is>
      </c>
      <c r="E64" t="inlineStr">
        <is>
          <t>https://www.csisoftware.com/constellation-software-inc-announces-results-for-the-fourth-quarter-and-year-ended-december-31-2024-and-declares-quarterly-dividend/</t>
        </is>
      </c>
    </row>
    <row r="65">
      <c r="A65" t="inlineStr">
        <is>
          <t>fcfa2s</t>
        </is>
      </c>
      <c r="B65" t="inlineStr">
        <is>
          <t>FY2025</t>
        </is>
      </c>
      <c r="C65" t="n">
        <v>1683</v>
      </c>
      <c r="D65" t="inlineStr">
        <is>
          <t>USD millions</t>
        </is>
      </c>
      <c r="E65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</row>
    <row r="66">
      <c r="A66" t="inlineStr">
        <is>
          <t>fcfa2s</t>
        </is>
      </c>
      <c r="B66" t="inlineStr">
        <is>
          <t>Q1 2025</t>
        </is>
      </c>
      <c r="C66" t="n">
        <v>510</v>
      </c>
      <c r="D66" t="inlineStr">
        <is>
          <t>USD millions</t>
        </is>
      </c>
      <c r="E66" t="inlineStr">
        <is>
          <t>https://www.globenewswire.com/news-release/2026/05/12/3293525/0/en/constellation-software-inc-announces-results-for-the-first-quarter-ended-march-31-2026-and-declares-quarterly-dividend.html</t>
        </is>
      </c>
    </row>
    <row r="67">
      <c r="A67" t="inlineStr">
        <is>
          <t>fcfa2s</t>
        </is>
      </c>
      <c r="B67" t="inlineStr">
        <is>
          <t>Q1 2026</t>
        </is>
      </c>
      <c r="C67" t="n">
        <v>733</v>
      </c>
      <c r="D67" t="inlineStr">
        <is>
          <t>USD millions</t>
        </is>
      </c>
      <c r="E67" t="inlineStr">
        <is>
          <t>https://www.globenewswire.com/news-release/2026/05/12/3293525/0/en/constellation-software-inc-announces-results-for-the-first-quarter-ended-march-31-2026-and-declares-quarterly-dividend.html</t>
        </is>
      </c>
    </row>
    <row r="68">
      <c r="A68" t="inlineStr">
        <is>
          <t>fcfa2s</t>
        </is>
      </c>
      <c r="B68" t="inlineStr">
        <is>
          <t>Q2 2025</t>
        </is>
      </c>
      <c r="C68" t="n">
        <v>220</v>
      </c>
      <c r="D68" t="inlineStr">
        <is>
          <t>USD millions</t>
        </is>
      </c>
      <c r="E68" t="inlineStr">
        <is>
          <t>https://quartr.com/events/constellation-software-inc-csu-q2-2025_33rGR7YJ</t>
        </is>
      </c>
    </row>
    <row r="69">
      <c r="A69" t="inlineStr">
        <is>
          <t>fcfa2s</t>
        </is>
      </c>
      <c r="B69" t="inlineStr">
        <is>
          <t>Q2 2026</t>
        </is>
      </c>
      <c r="C69" t="n">
        <v>345</v>
      </c>
      <c r="D69" t="inlineStr">
        <is>
          <t>USD millions</t>
        </is>
      </c>
      <c r="E69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70">
      <c r="A70" t="inlineStr">
        <is>
          <t>fcfa2s</t>
        </is>
      </c>
      <c r="B70" t="inlineStr">
        <is>
          <t>LTM to Q2 2026</t>
        </is>
      </c>
      <c r="C70" t="n">
        <v>2030</v>
      </c>
      <c r="D70" t="inlineStr">
        <is>
          <t>USD millions</t>
        </is>
      </c>
      <c r="E70" t="inlineStr">
        <is>
          <t>https://longyield.substack.com/p/constellation-software-q2-2026-the</t>
        </is>
      </c>
    </row>
    <row r="71">
      <c r="A71" t="inlineStr">
        <is>
          <t>acquisitions_cash_spent</t>
        </is>
      </c>
      <c r="B71" t="inlineStr">
        <is>
          <t>FY2022</t>
        </is>
      </c>
      <c r="C71" t="n">
        <v>1600</v>
      </c>
      <c r="D71" t="inlineStr">
        <is>
          <t>USD millions</t>
        </is>
      </c>
      <c r="E71" t="inlineStr">
        <is>
          <t>https://www.speedwellmemos.com/p/constellation-software-2022-earnings</t>
        </is>
      </c>
    </row>
    <row r="72">
      <c r="A72" t="inlineStr">
        <is>
          <t>acquisitions_cash_spent</t>
        </is>
      </c>
      <c r="B72" t="inlineStr">
        <is>
          <t>FY2023</t>
        </is>
      </c>
      <c r="C72" t="n">
        <v>732</v>
      </c>
      <c r="D72" t="inlineStr">
        <is>
          <t>USD millions</t>
        </is>
      </c>
      <c r="E72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</row>
    <row r="73">
      <c r="A73" t="inlineStr">
        <is>
          <t>acquisitions_cash_spent</t>
        </is>
      </c>
      <c r="B73" t="inlineStr">
        <is>
          <t>FY2024</t>
        </is>
      </c>
      <c r="C73" t="n">
        <v>1792</v>
      </c>
      <c r="D73" t="inlineStr">
        <is>
          <t>USD millions</t>
        </is>
      </c>
      <c r="E73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</row>
    <row r="74">
      <c r="A74" t="inlineStr">
        <is>
          <t>acquisitions_cash_spent</t>
        </is>
      </c>
      <c r="B74" t="inlineStr">
        <is>
          <t>FY2025</t>
        </is>
      </c>
      <c r="C74" t="n">
        <v>1579</v>
      </c>
      <c r="D74" t="inlineStr">
        <is>
          <t>USD millions</t>
        </is>
      </c>
      <c r="E74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</row>
    <row r="75">
      <c r="A75" t="inlineStr">
        <is>
          <t>acquisitions_cash_spent</t>
        </is>
      </c>
      <c r="B75" t="inlineStr">
        <is>
          <t>Q1 2026</t>
        </is>
      </c>
      <c r="C75" t="n">
        <v>697</v>
      </c>
      <c r="D75" t="inlineStr">
        <is>
          <t>USD millions</t>
        </is>
      </c>
      <c r="E75" t="inlineStr">
        <is>
          <t>https://www.globenewswire.com/news-release/2026/05/12/3293525/0/en/constellation-software-inc-announces-results-for-the-first-quarter-ended-march-31-2026-and-declares-quarterly-dividend.html</t>
        </is>
      </c>
    </row>
    <row r="76">
      <c r="A76" t="inlineStr">
        <is>
          <t>acquisitions_cash_spent</t>
        </is>
      </c>
      <c r="B76" t="inlineStr">
        <is>
          <t>Q2 2026</t>
        </is>
      </c>
      <c r="C76" t="n">
        <v>732</v>
      </c>
      <c r="D76" t="inlineStr">
        <is>
          <t>USD millions</t>
        </is>
      </c>
      <c r="E76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77">
      <c r="A77" t="inlineStr">
        <is>
          <t>acquisitions_cash_spent</t>
        </is>
      </c>
      <c r="B77" t="inlineStr">
        <is>
          <t>H1 2026</t>
        </is>
      </c>
      <c r="C77" t="n">
        <v>1429</v>
      </c>
      <c r="D77" t="inlineStr">
        <is>
          <t>USD millions</t>
        </is>
      </c>
      <c r="E77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78">
      <c r="A78" t="inlineStr">
        <is>
          <t>cash</t>
        </is>
      </c>
      <c r="B78" t="inlineStr">
        <is>
          <t>FY2022</t>
        </is>
      </c>
      <c r="C78" t="n">
        <v>811</v>
      </c>
      <c r="D78" t="inlineStr">
        <is>
          <t>USD millions</t>
        </is>
      </c>
      <c r="E78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</row>
    <row r="79">
      <c r="A79" t="inlineStr">
        <is>
          <t>cash</t>
        </is>
      </c>
      <c r="B79" t="inlineStr">
        <is>
          <t>FY2023</t>
        </is>
      </c>
      <c r="C79" t="n">
        <v>1284</v>
      </c>
      <c r="D79" t="inlineStr">
        <is>
          <t>USD millions</t>
        </is>
      </c>
      <c r="E79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</row>
    <row r="80">
      <c r="A80" t="inlineStr">
        <is>
          <t>cash</t>
        </is>
      </c>
      <c r="B80" t="inlineStr">
        <is>
          <t>FY2024</t>
        </is>
      </c>
      <c r="C80" t="n">
        <v>2770</v>
      </c>
      <c r="D80" t="inlineStr">
        <is>
          <t>USD millions</t>
        </is>
      </c>
      <c r="E80" t="inlineStr">
        <is>
          <t>https://www.globenewswire.com/news-release/2025/03/07/3039269/0/en/Constellation-Software-Inc-Announces-Results-for-the-Fourth-Quarter-and-Year-Ended-December-31-2024-and-Declares-Quarterly-Dividend.html</t>
        </is>
      </c>
    </row>
    <row r="81">
      <c r="A81" t="inlineStr">
        <is>
          <t>cash</t>
        </is>
      </c>
      <c r="B81" t="inlineStr">
        <is>
          <t>Q1 2026</t>
        </is>
      </c>
      <c r="C81" t="n">
        <v>3010</v>
      </c>
      <c r="D81" t="inlineStr">
        <is>
          <t>USD millions</t>
        </is>
      </c>
      <c r="E81" t="inlineStr">
        <is>
          <t>https://www.levelheadedinvesting.com/p/constellation-software-csu-q1-2026-results-the-market-feared-ai-constellation-deployed-1-6-billion</t>
        </is>
      </c>
    </row>
    <row r="82">
      <c r="A82" t="inlineStr">
        <is>
          <t>cash</t>
        </is>
      </c>
      <c r="B82" t="inlineStr">
        <is>
          <t>Q2 2026</t>
        </is>
      </c>
      <c r="C82" t="n">
        <v>2800</v>
      </c>
      <c r="D82" t="inlineStr">
        <is>
          <t>USD millions</t>
        </is>
      </c>
      <c r="E82" t="inlineStr">
        <is>
          <t>https://investing.com/equities/constellation-software-inc-balance-sheet</t>
        </is>
      </c>
    </row>
    <row r="83">
      <c r="A83" t="inlineStr">
        <is>
          <t>total_debt</t>
        </is>
      </c>
      <c r="B83" t="inlineStr">
        <is>
          <t>FY2022</t>
        </is>
      </c>
      <c r="C83" t="n">
        <v>1974</v>
      </c>
      <c r="D83" t="inlineStr">
        <is>
          <t>USD millions</t>
        </is>
      </c>
      <c r="E83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</row>
    <row r="84">
      <c r="A84" t="inlineStr">
        <is>
          <t>total_debt</t>
        </is>
      </c>
      <c r="B84" t="inlineStr">
        <is>
          <t>FY2023</t>
        </is>
      </c>
      <c r="C84" t="n">
        <v>3334</v>
      </c>
      <c r="D84" t="inlineStr">
        <is>
          <t>USD millions</t>
        </is>
      </c>
      <c r="E84" t="inlineStr">
        <is>
          <t>https://www.globenewswire.com/news-release/2024/03/06/2841834/0/en/Constellation-Software-Inc-Announces-Results-for-the-Fourth-Quarter-and-Year-Ended-December-31-2023-and-Declares-Quarterly-Dividend.html</t>
        </is>
      </c>
    </row>
    <row r="85">
      <c r="A85" t="inlineStr">
        <is>
          <t>total_debt</t>
        </is>
      </c>
      <c r="B85" t="inlineStr">
        <is>
          <t>FY2024</t>
        </is>
      </c>
      <c r="C85" t="n">
        <v>4533</v>
      </c>
      <c r="D85" t="inlineStr">
        <is>
          <t>USD millions</t>
        </is>
      </c>
      <c r="E85" t="inlineStr">
        <is>
          <t>https://finance.yahoo.com/quote/CNSWF/balance-sheet/</t>
        </is>
      </c>
    </row>
    <row r="86">
      <c r="A86" t="inlineStr">
        <is>
          <t>total_debt</t>
        </is>
      </c>
      <c r="B86" t="inlineStr">
        <is>
          <t>Q1 2026</t>
        </is>
      </c>
      <c r="C86" t="n">
        <v>3990</v>
      </c>
      <c r="D86" t="inlineStr">
        <is>
          <t>USD millions</t>
        </is>
      </c>
      <c r="E86" t="inlineStr">
        <is>
          <t>https://www.levelheadedinvesting.com/p/constellation-software-csu-q1-2026-results-the-market-feared-ai-constellation-deployed-1-6-billion</t>
        </is>
      </c>
    </row>
    <row r="87">
      <c r="A87" t="inlineStr">
        <is>
          <t>total_debt</t>
        </is>
      </c>
      <c r="B87" t="inlineStr">
        <is>
          <t>Q2 2026</t>
        </is>
      </c>
      <c r="C87" t="n">
        <v>5000</v>
      </c>
      <c r="D87" t="inlineStr">
        <is>
          <t>USD millions</t>
        </is>
      </c>
      <c r="E87" t="inlineStr">
        <is>
          <t>https://investing.com/equities/constellation-software-inc-balance-sheet</t>
        </is>
      </c>
    </row>
    <row r="88">
      <c r="A88" t="inlineStr">
        <is>
          <t>shares_outstanding</t>
        </is>
      </c>
      <c r="B88" t="inlineStr">
        <is>
          <t>FY2023</t>
        </is>
      </c>
      <c r="C88" t="n">
        <v>21.19</v>
      </c>
      <c r="D88" t="inlineStr">
        <is>
          <t>millions</t>
        </is>
      </c>
      <c r="E88" t="inlineStr">
        <is>
          <t>https://www.macrotrends.net/stocks/charts/CNSWF/constellation-software/shares-outstanding</t>
        </is>
      </c>
    </row>
    <row r="89">
      <c r="A89" t="inlineStr">
        <is>
          <t>shares_outstanding</t>
        </is>
      </c>
      <c r="B89" t="inlineStr">
        <is>
          <t>FY2024</t>
        </is>
      </c>
      <c r="C89" t="n">
        <v>21.19</v>
      </c>
      <c r="D89" t="inlineStr">
        <is>
          <t>millions</t>
        </is>
      </c>
      <c r="E89" t="inlineStr">
        <is>
          <t>https://www.macrotrends.net/stocks/charts/CNSWF/constellation-software/shares-outstanding</t>
        </is>
      </c>
    </row>
    <row r="90">
      <c r="A90" t="inlineStr">
        <is>
          <t>shares_outstanding</t>
        </is>
      </c>
      <c r="B90" t="inlineStr">
        <is>
          <t>FY2025</t>
        </is>
      </c>
      <c r="C90" t="n">
        <v>21.19</v>
      </c>
      <c r="D90" t="inlineStr">
        <is>
          <t>millions</t>
        </is>
      </c>
      <c r="E90" t="inlineStr">
        <is>
          <t>https://www.globenewswire.com/news-release/2026/03/09/3251696/0/en/constellation-software-inc-announces-results-for-the-fourth-quarter-and-year-ended-december-31-2025-and-declares-quarterly-dividend.html</t>
        </is>
      </c>
    </row>
    <row r="91">
      <c r="A91" t="inlineStr">
        <is>
          <t>shares_outstanding</t>
        </is>
      </c>
      <c r="B91" t="inlineStr">
        <is>
          <t>Q1 2026</t>
        </is>
      </c>
      <c r="C91" t="n">
        <v>21.19</v>
      </c>
      <c r="D91" t="inlineStr">
        <is>
          <t>millions</t>
        </is>
      </c>
      <c r="E91" t="inlineStr">
        <is>
          <t>https://www.gurufocus.com/term/shares-outstanding/CNSWF</t>
        </is>
      </c>
    </row>
    <row r="92">
      <c r="A92" t="inlineStr">
        <is>
          <t>shares_outstanding</t>
        </is>
      </c>
      <c r="B92" t="inlineStr">
        <is>
          <t>Q2 2026</t>
        </is>
      </c>
      <c r="C92" t="n">
        <v>21.19</v>
      </c>
      <c r="D92" t="inlineStr">
        <is>
          <t>millions</t>
        </is>
      </c>
      <c r="E92" t="inlineStr">
        <is>
          <t>https://www.macrotrends.net/stocks/charts/CNSWF/constellation-software/shares-outstanding</t>
        </is>
      </c>
    </row>
    <row r="93">
      <c r="A93" t="inlineStr">
        <is>
          <t>dividends_per_share</t>
        </is>
      </c>
      <c r="B93" t="inlineStr">
        <is>
          <t>FY2022</t>
        </is>
      </c>
      <c r="C93" t="n">
        <v>4</v>
      </c>
      <c r="D93" t="inlineStr">
        <is>
          <t>USD</t>
        </is>
      </c>
      <c r="E93" t="inlineStr">
        <is>
          <t>https://stockanalysis.com/quote/tsx/CSU/dividend/</t>
        </is>
      </c>
    </row>
    <row r="94">
      <c r="A94" t="inlineStr">
        <is>
          <t>dividends_per_share</t>
        </is>
      </c>
      <c r="B94" t="inlineStr">
        <is>
          <t>FY2023</t>
        </is>
      </c>
      <c r="C94" t="n">
        <v>4</v>
      </c>
      <c r="D94" t="inlineStr">
        <is>
          <t>USD</t>
        </is>
      </c>
      <c r="E94" t="inlineStr">
        <is>
          <t>https://stockanalysis.com/quote/tsx/CSU/dividend/</t>
        </is>
      </c>
    </row>
    <row r="95">
      <c r="A95" t="inlineStr">
        <is>
          <t>dividends_per_share</t>
        </is>
      </c>
      <c r="B95" t="inlineStr">
        <is>
          <t>FY2024</t>
        </is>
      </c>
      <c r="C95" t="n">
        <v>4</v>
      </c>
      <c r="D95" t="inlineStr">
        <is>
          <t>USD</t>
        </is>
      </c>
      <c r="E95" t="inlineStr">
        <is>
          <t>https://www.investing.com/equities/constellation-software-inc-dividends</t>
        </is>
      </c>
    </row>
    <row r="96">
      <c r="A96" t="inlineStr">
        <is>
          <t>dividends_per_share</t>
        </is>
      </c>
      <c r="B96" t="inlineStr">
        <is>
          <t>FY2025</t>
        </is>
      </c>
      <c r="C96" t="n">
        <v>4</v>
      </c>
      <c r="D96" t="inlineStr">
        <is>
          <t>USD</t>
        </is>
      </c>
      <c r="E96" t="inlineStr">
        <is>
          <t>https://stockanalysis.com/quote/tsx/CSU/dividend/</t>
        </is>
      </c>
    </row>
    <row r="97">
      <c r="A97" t="inlineStr">
        <is>
          <t>dividends_per_share</t>
        </is>
      </c>
      <c r="B97" t="inlineStr">
        <is>
          <t>Q1 2026</t>
        </is>
      </c>
      <c r="C97" t="n">
        <v>1</v>
      </c>
      <c r="D97" t="inlineStr">
        <is>
          <t>USD</t>
        </is>
      </c>
      <c r="E97" t="inlineStr">
        <is>
          <t>https://www.globenewswire.com/news-release/2026/05/12/3293525/0/en/constellation-software-inc-announces-results-for-the-first-quarter-ended-march-31-2026-and-declares-quarterly-dividend.html</t>
        </is>
      </c>
    </row>
    <row r="98">
      <c r="A98" t="inlineStr">
        <is>
          <t>dividends_per_share</t>
        </is>
      </c>
      <c r="B98" t="inlineStr">
        <is>
          <t>Q2 2026</t>
        </is>
      </c>
      <c r="C98" t="n">
        <v>1</v>
      </c>
      <c r="D98" t="inlineStr">
        <is>
          <t>USD</t>
        </is>
      </c>
      <c r="E98" t="inlineStr">
        <is>
          <t>https://www.globenewswire.com/news-release/2026/08/11/3343207/0/en/constellation-software-inc-announces-results-for-the-second-quarter-ended-june-30-2026-and-declares-quarterly-dividend.html</t>
        </is>
      </c>
    </row>
    <row r="99">
      <c r="A99" t="inlineStr">
        <is>
          <t>share_price_cad</t>
        </is>
      </c>
      <c r="B99" t="inlineStr">
        <is>
          <t>2026-09-11</t>
        </is>
      </c>
      <c r="C99" t="n">
        <v>2827.94</v>
      </c>
      <c r="D99" t="inlineStr">
        <is>
          <t>CAD</t>
        </is>
      </c>
      <c r="E99" t="inlineStr">
        <is>
          <t>https://www.stockopedia.com/share-prices/constellation-software-TSE:CSU/</t>
        </is>
      </c>
    </row>
    <row r="100">
      <c r="A100" t="inlineStr">
        <is>
          <t>market_cap_usd</t>
        </is>
      </c>
      <c r="B100" t="inlineStr">
        <is>
          <t>2026-09</t>
        </is>
      </c>
      <c r="C100" t="n">
        <v>47950</v>
      </c>
      <c r="D100" t="inlineStr">
        <is>
          <t>USD millions</t>
        </is>
      </c>
      <c r="E100" t="inlineStr">
        <is>
          <t>https://tradingeconomics.com/csu:cn:market-capitalization</t>
        </is>
      </c>
    </row>
    <row r="101">
      <c r="A101" t="inlineStr">
        <is>
          <t>enterprise_value_usd</t>
        </is>
      </c>
      <c r="B101" t="inlineStr">
        <is>
          <t>2026-05</t>
        </is>
      </c>
      <c r="C101" t="n">
        <v>46000</v>
      </c>
      <c r="D101" t="inlineStr">
        <is>
          <t>CAD millions</t>
        </is>
      </c>
      <c r="E101" t="inlineStr">
        <is>
          <t>https://multiples.vc/public-comps/constellation-software-valuation-multiples</t>
        </is>
      </c>
    </row>
    <row r="102">
      <c r="A102" t="inlineStr">
        <is>
          <t>price_date</t>
        </is>
      </c>
      <c r="B102" t="inlineStr">
        <is>
          <t>current</t>
        </is>
      </c>
      <c r="C102" t="inlineStr">
        <is>
          <t>2026-09-11</t>
        </is>
      </c>
      <c r="D102" t="inlineStr">
        <is>
          <t>date</t>
        </is>
      </c>
      <c r="E102" t="inlineStr">
        <is>
          <t>https://www.stockopedia.com/share-prices/constellation-software-TSE:CSU/</t>
        </is>
      </c>
    </row>
    <row r="103">
      <c r="A103" t="inlineStr">
        <is>
          <t>market_cap_cad</t>
        </is>
      </c>
      <c r="B103" t="inlineStr">
        <is>
          <t>2026-09-08</t>
        </is>
      </c>
      <c r="C103" t="n">
        <v>65183</v>
      </c>
      <c r="D103" t="inlineStr">
        <is>
          <t>CAD millions</t>
        </is>
      </c>
      <c r="E103" t="inlineStr">
        <is>
          <t>https://stockanalysis.com/quote/tsx/CSU/market-cap/</t>
        </is>
      </c>
    </row>
    <row r="104">
      <c r="A104" t="inlineStr">
        <is>
          <t>usdcad</t>
        </is>
      </c>
      <c r="B104" t="inlineStr">
        <is>
          <t>2026-09</t>
        </is>
      </c>
      <c r="C104" t="n">
        <v>1.3594</v>
      </c>
      <c r="D104" t="inlineStr">
        <is>
          <t>CAD per USD</t>
        </is>
      </c>
      <c r="E104" t="inlineStr">
        <is>
          <t>https://stockanalysis.com/quote/tsx/CSU/market-cap/ and https://tradingeconomics.com/csu:cn:market-capitalization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55" customWidth="1" min="4" max="4"/>
    <col width="45" customWidth="1" min="5" max="5"/>
    <col width="55" customWidth="1" min="6" max="6"/>
  </cols>
  <sheetData>
    <row r="1">
      <c r="A1" t="inlineStr">
        <is>
          <t>metric</t>
        </is>
      </c>
      <c r="B1" t="inlineStr">
        <is>
          <t>period</t>
        </is>
      </c>
      <c r="C1" t="inlineStr">
        <is>
          <t>value</t>
        </is>
      </c>
      <c r="D1" t="inlineStr">
        <is>
          <t>formula</t>
        </is>
      </c>
      <c r="E1" t="inlineStr">
        <is>
          <t>inputs_used</t>
        </is>
      </c>
      <c r="F1" t="inlineStr">
        <is>
          <t>note</t>
        </is>
      </c>
    </row>
    <row r="2">
      <c r="A2" t="inlineStr">
        <is>
          <t>revenue_growth_yoy</t>
        </is>
      </c>
      <c r="B2" t="inlineStr">
        <is>
          <t>FY2023</t>
        </is>
      </c>
      <c r="C2">
        <f>Ledger!$C$3/Ledger!$C$2-1</f>
        <v/>
      </c>
      <c r="D2" t="inlineStr">
        <is>
          <t>revenue[FY2023]/revenue[FY2022] - 1</t>
        </is>
      </c>
      <c r="E2" t="inlineStr">
        <is>
          <t>revenue.FY2023, revenue.FY2022</t>
        </is>
      </c>
      <c r="F2" t="inlineStr"/>
    </row>
    <row r="3">
      <c r="A3" t="inlineStr">
        <is>
          <t>revenue_growth_yoy</t>
        </is>
      </c>
      <c r="B3" t="inlineStr">
        <is>
          <t>FY2024</t>
        </is>
      </c>
      <c r="C3">
        <f>Ledger!$C$4/Ledger!$C$3-1</f>
        <v/>
      </c>
      <c r="D3" t="inlineStr">
        <is>
          <t>revenue[FY2024]/revenue[FY2023] - 1</t>
        </is>
      </c>
      <c r="E3" t="inlineStr">
        <is>
          <t>revenue.FY2024, revenue.FY2023</t>
        </is>
      </c>
      <c r="F3" t="inlineStr"/>
    </row>
    <row r="4">
      <c r="A4" t="inlineStr">
        <is>
          <t>revenue_growth_yoy</t>
        </is>
      </c>
      <c r="B4" t="inlineStr">
        <is>
          <t>FY2025</t>
        </is>
      </c>
      <c r="C4">
        <f>Ledger!$C$5/Ledger!$C$4-1</f>
        <v/>
      </c>
      <c r="D4" t="inlineStr">
        <is>
          <t>revenue[FY2025]/revenue[FY2024] - 1</t>
        </is>
      </c>
      <c r="E4" t="inlineStr">
        <is>
          <t>revenue.FY2025, revenue.FY2024</t>
        </is>
      </c>
      <c r="F4" t="inlineStr"/>
    </row>
    <row r="5">
      <c r="A5" t="inlineStr">
        <is>
          <t>revenue_growth_yoy</t>
        </is>
      </c>
      <c r="B5" t="inlineStr">
        <is>
          <t>Q1 2026</t>
        </is>
      </c>
      <c r="C5">
        <f>Ledger!$C$7/Ledger!$C$6-1</f>
        <v/>
      </c>
      <c r="D5" t="inlineStr">
        <is>
          <t>revenue[Q1 2026]/revenue[Q1 2025] - 1</t>
        </is>
      </c>
      <c r="E5" t="inlineStr">
        <is>
          <t>revenue.Q1 2026, revenue.Q1 2025</t>
        </is>
      </c>
      <c r="F5" t="inlineStr"/>
    </row>
    <row r="6">
      <c r="A6" t="inlineStr">
        <is>
          <t>revenue_growth_yoy</t>
        </is>
      </c>
      <c r="B6" t="inlineStr">
        <is>
          <t>Q2 2026</t>
        </is>
      </c>
      <c r="C6">
        <f>Ledger!$C$9/Ledger!$C$8-1</f>
        <v/>
      </c>
      <c r="D6" t="inlineStr">
        <is>
          <t>revenue[Q2 2026]/revenue[Q2 2025] - 1</t>
        </is>
      </c>
      <c r="E6" t="inlineStr">
        <is>
          <t>revenue.Q2 2026, revenue.Q2 2025</t>
        </is>
      </c>
      <c r="F6" t="inlineStr"/>
    </row>
    <row r="7">
      <c r="A7" t="inlineStr">
        <is>
          <t>revenue_growth_yoy</t>
        </is>
      </c>
      <c r="B7" t="inlineStr">
        <is>
          <t>H1 2026</t>
        </is>
      </c>
      <c r="C7">
        <f>Ledger!$C$11/Ledger!$C$10-1</f>
        <v/>
      </c>
      <c r="D7" t="inlineStr">
        <is>
          <t>revenue[H1 2026]/revenue[H1 2025] - 1</t>
        </is>
      </c>
      <c r="E7" t="inlineStr">
        <is>
          <t>revenue.H1 2026, revenue.H1 2025</t>
        </is>
      </c>
      <c r="F7" t="inlineStr"/>
    </row>
    <row r="8">
      <c r="A8" t="inlineStr">
        <is>
          <t>revenue_growth_yoy</t>
        </is>
      </c>
      <c r="B8" t="inlineStr">
        <is>
          <t>FY2022</t>
        </is>
      </c>
      <c r="D8" t="inlineStr">
        <is>
          <t>revenue[FY2022]/revenue[FY2021] - 1</t>
        </is>
      </c>
      <c r="E8" t="inlineStr"/>
      <c r="F8" t="inlineStr">
        <is>
          <t>no FY2021 revenue in ledger</t>
        </is>
      </c>
    </row>
    <row r="9">
      <c r="A9" t="inlineStr">
        <is>
          <t>maintenance_share_of_revenue</t>
        </is>
      </c>
      <c r="B9" t="inlineStr">
        <is>
          <t>FY2022</t>
        </is>
      </c>
      <c r="D9" t="inlineStr">
        <is>
          <t>maintenance_recurring_revenue[FY2022]/revenue[FY2022]</t>
        </is>
      </c>
      <c r="E9" t="inlineStr"/>
      <c r="F9" t="inlineStr">
        <is>
          <t>maintenance_recurring_revenue or revenue missing for this period</t>
        </is>
      </c>
    </row>
    <row r="10">
      <c r="A10" t="inlineStr">
        <is>
          <t>maintenance_share_of_revenue</t>
        </is>
      </c>
      <c r="B10" t="inlineStr">
        <is>
          <t>FY2023</t>
        </is>
      </c>
      <c r="C10">
        <f>Ledger!$C$12/Ledger!$C$3</f>
        <v/>
      </c>
      <c r="D10" t="inlineStr">
        <is>
          <t>maintenance_recurring_revenue[FY2023]/revenue[FY2023]</t>
        </is>
      </c>
      <c r="E10" t="inlineStr">
        <is>
          <t>maintenance_recurring_revenue.FY2023, revenue.FY2023</t>
        </is>
      </c>
      <c r="F10" t="inlineStr"/>
    </row>
    <row r="11">
      <c r="A11" t="inlineStr">
        <is>
          <t>maintenance_share_of_revenue</t>
        </is>
      </c>
      <c r="B11" t="inlineStr">
        <is>
          <t>FY2024</t>
        </is>
      </c>
      <c r="C11">
        <f>Ledger!$C$13/Ledger!$C$4</f>
        <v/>
      </c>
      <c r="D11" t="inlineStr">
        <is>
          <t>maintenance_recurring_revenue[FY2024]/revenue[FY2024]</t>
        </is>
      </c>
      <c r="E11" t="inlineStr">
        <is>
          <t>maintenance_recurring_revenue.FY2024, revenue.FY2024</t>
        </is>
      </c>
      <c r="F11" t="inlineStr"/>
    </row>
    <row r="12">
      <c r="A12" t="inlineStr">
        <is>
          <t>maintenance_share_of_revenue</t>
        </is>
      </c>
      <c r="B12" t="inlineStr">
        <is>
          <t>FY2025</t>
        </is>
      </c>
      <c r="D12" t="inlineStr">
        <is>
          <t>maintenance_recurring_revenue[FY2025]/revenue[FY2025]</t>
        </is>
      </c>
      <c r="E12" t="inlineStr"/>
      <c r="F12" t="inlineStr">
        <is>
          <t>maintenance_recurring_revenue or revenue missing for this period</t>
        </is>
      </c>
    </row>
    <row r="13">
      <c r="A13" t="inlineStr">
        <is>
          <t>maintenance_share_of_revenue</t>
        </is>
      </c>
      <c r="B13" t="inlineStr">
        <is>
          <t>Q1 2025</t>
        </is>
      </c>
      <c r="C13">
        <f>Ledger!$C$14/Ledger!$C$6</f>
        <v/>
      </c>
      <c r="D13" t="inlineStr">
        <is>
          <t>maintenance_recurring_revenue[Q1 2025]/revenue[Q1 2025]</t>
        </is>
      </c>
      <c r="E13" t="inlineStr">
        <is>
          <t>maintenance_recurring_revenue.Q1 2025, revenue.Q1 2025</t>
        </is>
      </c>
      <c r="F13" t="inlineStr"/>
    </row>
    <row r="14">
      <c r="A14" t="inlineStr">
        <is>
          <t>maintenance_share_of_revenue</t>
        </is>
      </c>
      <c r="B14" t="inlineStr">
        <is>
          <t>Q1 2026</t>
        </is>
      </c>
      <c r="C14">
        <f>Ledger!$C$15/Ledger!$C$7</f>
        <v/>
      </c>
      <c r="D14" t="inlineStr">
        <is>
          <t>maintenance_recurring_revenue[Q1 2026]/revenue[Q1 2026]</t>
        </is>
      </c>
      <c r="E14" t="inlineStr">
        <is>
          <t>maintenance_recurring_revenue.Q1 2026, revenue.Q1 2026</t>
        </is>
      </c>
      <c r="F14" t="inlineStr"/>
    </row>
    <row r="15">
      <c r="A15" t="inlineStr">
        <is>
          <t>maintenance_share_of_revenue</t>
        </is>
      </c>
      <c r="B15" t="inlineStr">
        <is>
          <t>Q2 2025</t>
        </is>
      </c>
      <c r="D15" t="inlineStr">
        <is>
          <t>maintenance_recurring_revenue[Q2 2025]/revenue[Q2 2025]</t>
        </is>
      </c>
      <c r="E15" t="inlineStr"/>
      <c r="F15" t="inlineStr">
        <is>
          <t>maintenance_recurring_revenue or revenue missing for this period</t>
        </is>
      </c>
    </row>
    <row r="16">
      <c r="A16" t="inlineStr">
        <is>
          <t>maintenance_share_of_revenue</t>
        </is>
      </c>
      <c r="B16" t="inlineStr">
        <is>
          <t>Q2 2026</t>
        </is>
      </c>
      <c r="C16">
        <f>Ledger!$C$16/Ledger!$C$9</f>
        <v/>
      </c>
      <c r="D16" t="inlineStr">
        <is>
          <t>maintenance_recurring_revenue[Q2 2026]/revenue[Q2 2026]</t>
        </is>
      </c>
      <c r="E16" t="inlineStr">
        <is>
          <t>maintenance_recurring_revenue.Q2 2026, revenue.Q2 2026</t>
        </is>
      </c>
      <c r="F16" t="inlineStr"/>
    </row>
    <row r="17">
      <c r="A17" t="inlineStr">
        <is>
          <t>maintenance_share_of_revenue</t>
        </is>
      </c>
      <c r="B17" t="inlineStr">
        <is>
          <t>H1 2025</t>
        </is>
      </c>
      <c r="D17" t="inlineStr">
        <is>
          <t>maintenance_recurring_revenue[H1 2025]/revenue[H1 2025]</t>
        </is>
      </c>
      <c r="E17" t="inlineStr"/>
      <c r="F17" t="inlineStr">
        <is>
          <t>maintenance_recurring_revenue or revenue missing for this period</t>
        </is>
      </c>
    </row>
    <row r="18">
      <c r="A18" t="inlineStr">
        <is>
          <t>maintenance_share_of_revenue</t>
        </is>
      </c>
      <c r="B18" t="inlineStr">
        <is>
          <t>H1 2026</t>
        </is>
      </c>
      <c r="C18">
        <f>Ledger!$C$17/Ledger!$C$11</f>
        <v/>
      </c>
      <c r="D18" t="inlineStr">
        <is>
          <t>maintenance_recurring_revenue[H1 2026]/revenue[H1 2026]</t>
        </is>
      </c>
      <c r="E18" t="inlineStr">
        <is>
          <t>maintenance_recurring_revenue.H1 2026, revenue.H1 2026</t>
        </is>
      </c>
      <c r="F18" t="inlineStr"/>
    </row>
    <row r="19">
      <c r="A19" t="inlineStr">
        <is>
          <t>maintenance_share_of_revenue</t>
        </is>
      </c>
      <c r="B19" t="inlineStr">
        <is>
          <t>LTM to Q2 2026</t>
        </is>
      </c>
      <c r="D19" t="inlineStr">
        <is>
          <t>maintenance_recurring_revenue[LTM to Q2 2026]/revenue[LTM to Q2 2026]</t>
        </is>
      </c>
      <c r="E19" t="inlineStr"/>
      <c r="F19" t="inlineStr">
        <is>
          <t>maintenance_recurring_revenue or revenue missing for this period</t>
        </is>
      </c>
    </row>
    <row r="20">
      <c r="A20" t="inlineStr">
        <is>
          <t>maintenance_growth_yoy</t>
        </is>
      </c>
      <c r="B20" t="inlineStr">
        <is>
          <t>FY2023</t>
        </is>
      </c>
      <c r="D20" t="inlineStr">
        <is>
          <t>maintenance_recurring_revenue[FY2023]/maintenance_recurring_revenue[FY2022] - 1</t>
        </is>
      </c>
      <c r="E20" t="inlineStr"/>
      <c r="F20" t="inlineStr">
        <is>
          <t>maintenance_recurring_revenue missing for current or prior period</t>
        </is>
      </c>
    </row>
    <row r="21">
      <c r="A21" t="inlineStr">
        <is>
          <t>maintenance_growth_yoy</t>
        </is>
      </c>
      <c r="B21" t="inlineStr">
        <is>
          <t>FY2024</t>
        </is>
      </c>
      <c r="C21" t="n">
        <v>0.2357560568086885</v>
      </c>
      <c r="D21" t="inlineStr">
        <is>
          <t>maintenance_recurring_revenue[FY2024]/maintenance_recurring_revenue[FY2023] - 1</t>
        </is>
      </c>
      <c r="E21" t="inlineStr">
        <is>
          <t>maintenance_recurring_revenue.FY2024, maintenance_recurring_revenue.FY2023</t>
        </is>
      </c>
      <c r="F21" t="inlineStr"/>
    </row>
    <row r="22">
      <c r="A22" t="inlineStr">
        <is>
          <t>maintenance_growth_yoy</t>
        </is>
      </c>
      <c r="B22" t="inlineStr">
        <is>
          <t>FY2025</t>
        </is>
      </c>
      <c r="D22" t="inlineStr">
        <is>
          <t>maintenance_recurring_revenue[FY2025]/maintenance_recurring_revenue[FY2024] - 1</t>
        </is>
      </c>
      <c r="E22" t="inlineStr"/>
      <c r="F22" t="inlineStr">
        <is>
          <t>maintenance_recurring_revenue missing for current or prior period</t>
        </is>
      </c>
    </row>
    <row r="23">
      <c r="A23" t="inlineStr">
        <is>
          <t>maintenance_growth_yoy</t>
        </is>
      </c>
      <c r="B23" t="inlineStr">
        <is>
          <t>Q1 2026</t>
        </is>
      </c>
      <c r="C23" t="n">
        <v>0.222444889779559</v>
      </c>
      <c r="D23" t="inlineStr">
        <is>
          <t>maintenance_recurring_revenue[Q1 2026]/maintenance_recurring_revenue[Q1 2025] - 1</t>
        </is>
      </c>
      <c r="E23" t="inlineStr">
        <is>
          <t>maintenance_recurring_revenue.Q1 2026, maintenance_recurring_revenue.Q1 2025</t>
        </is>
      </c>
      <c r="F23" t="inlineStr"/>
    </row>
    <row r="24">
      <c r="A24" t="inlineStr">
        <is>
          <t>maintenance_growth_yoy</t>
        </is>
      </c>
      <c r="B24" t="inlineStr">
        <is>
          <t>Q2 2026</t>
        </is>
      </c>
      <c r="D24" t="inlineStr">
        <is>
          <t>maintenance_recurring_revenue[Q2 2026]/maintenance_recurring_revenue[Q2 2025] - 1</t>
        </is>
      </c>
      <c r="E24" t="inlineStr"/>
      <c r="F24" t="inlineStr">
        <is>
          <t>maintenance_recurring_revenue missing for current or prior period</t>
        </is>
      </c>
    </row>
    <row r="25">
      <c r="A25" t="inlineStr">
        <is>
          <t>maintenance_growth_yoy</t>
        </is>
      </c>
      <c r="B25" t="inlineStr">
        <is>
          <t>H1 2026</t>
        </is>
      </c>
      <c r="D25" t="inlineStr">
        <is>
          <t>maintenance_recurring_revenue[H1 2026]/maintenance_recurring_revenue[H1 2025] - 1</t>
        </is>
      </c>
      <c r="E25" t="inlineStr"/>
      <c r="F25" t="inlineStr">
        <is>
          <t>maintenance_recurring_revenue missing for current or prior period</t>
        </is>
      </c>
    </row>
    <row r="26">
      <c r="A26" t="inlineStr">
        <is>
          <t>net_margin</t>
        </is>
      </c>
      <c r="B26" t="inlineStr">
        <is>
          <t>FY2022</t>
        </is>
      </c>
      <c r="C26">
        <f>Ledger!$C$33/Ledger!$C$2</f>
        <v/>
      </c>
      <c r="D26" t="inlineStr">
        <is>
          <t>net_income_attributable[FY2022]/revenue[FY2022]</t>
        </is>
      </c>
      <c r="E26" t="inlineStr">
        <is>
          <t>net_income_attributable.FY2022, revenue.FY2022</t>
        </is>
      </c>
      <c r="F26" t="inlineStr"/>
    </row>
    <row r="27">
      <c r="A27" t="inlineStr">
        <is>
          <t>net_margin</t>
        </is>
      </c>
      <c r="B27" t="inlineStr">
        <is>
          <t>FY2023</t>
        </is>
      </c>
      <c r="C27">
        <f>Ledger!$C$34/Ledger!$C$3</f>
        <v/>
      </c>
      <c r="D27" t="inlineStr">
        <is>
          <t>net_income_attributable[FY2023]/revenue[FY2023]</t>
        </is>
      </c>
      <c r="E27" t="inlineStr">
        <is>
          <t>net_income_attributable.FY2023, revenue.FY2023</t>
        </is>
      </c>
      <c r="F27" t="inlineStr"/>
    </row>
    <row r="28">
      <c r="A28" t="inlineStr">
        <is>
          <t>net_margin</t>
        </is>
      </c>
      <c r="B28" t="inlineStr">
        <is>
          <t>FY2024</t>
        </is>
      </c>
      <c r="C28">
        <f>Ledger!$C$35/Ledger!$C$4</f>
        <v/>
      </c>
      <c r="D28" t="inlineStr">
        <is>
          <t>net_income_attributable[FY2024]/revenue[FY2024]</t>
        </is>
      </c>
      <c r="E28" t="inlineStr">
        <is>
          <t>net_income_attributable.FY2024, revenue.FY2024</t>
        </is>
      </c>
      <c r="F28" t="inlineStr"/>
    </row>
    <row r="29">
      <c r="A29" t="inlineStr">
        <is>
          <t>net_margin</t>
        </is>
      </c>
      <c r="B29" t="inlineStr">
        <is>
          <t>FY2025</t>
        </is>
      </c>
      <c r="C29">
        <f>Ledger!$C$36/Ledger!$C$5</f>
        <v/>
      </c>
      <c r="D29" t="inlineStr">
        <is>
          <t>net_income_attributable[FY2025]/revenue[FY2025]</t>
        </is>
      </c>
      <c r="E29" t="inlineStr">
        <is>
          <t>net_income_attributable.FY2025, revenue.FY2025</t>
        </is>
      </c>
      <c r="F29" t="inlineStr"/>
    </row>
    <row r="30">
      <c r="A30" t="inlineStr">
        <is>
          <t>net_margin</t>
        </is>
      </c>
      <c r="B30" t="inlineStr">
        <is>
          <t>Q1 2025</t>
        </is>
      </c>
      <c r="C30">
        <f>Ledger!$C$37/Ledger!$C$6</f>
        <v/>
      </c>
      <c r="D30" t="inlineStr">
        <is>
          <t>net_income_attributable[Q1 2025]/revenue[Q1 2025]</t>
        </is>
      </c>
      <c r="E30" t="inlineStr">
        <is>
          <t>net_income_attributable.Q1 2025, revenue.Q1 2025</t>
        </is>
      </c>
      <c r="F30" t="inlineStr"/>
    </row>
    <row r="31">
      <c r="A31" t="inlineStr">
        <is>
          <t>net_margin</t>
        </is>
      </c>
      <c r="B31" t="inlineStr">
        <is>
          <t>Q1 2026</t>
        </is>
      </c>
      <c r="C31">
        <f>Ledger!$C$38/Ledger!$C$7</f>
        <v/>
      </c>
      <c r="D31" t="inlineStr">
        <is>
          <t>net_income_attributable[Q1 2026]/revenue[Q1 2026]</t>
        </is>
      </c>
      <c r="E31" t="inlineStr">
        <is>
          <t>net_income_attributable.Q1 2026, revenue.Q1 2026</t>
        </is>
      </c>
      <c r="F31" t="inlineStr"/>
    </row>
    <row r="32">
      <c r="A32" t="inlineStr">
        <is>
          <t>net_margin</t>
        </is>
      </c>
      <c r="B32" t="inlineStr">
        <is>
          <t>Q2 2025</t>
        </is>
      </c>
      <c r="C32">
        <f>Ledger!$C$39/Ledger!$C$8</f>
        <v/>
      </c>
      <c r="D32" t="inlineStr">
        <is>
          <t>net_income_attributable[Q2 2025]/revenue[Q2 2025]</t>
        </is>
      </c>
      <c r="E32" t="inlineStr">
        <is>
          <t>net_income_attributable.Q2 2025, revenue.Q2 2025</t>
        </is>
      </c>
      <c r="F32" t="inlineStr"/>
    </row>
    <row r="33">
      <c r="A33" t="inlineStr">
        <is>
          <t>net_margin</t>
        </is>
      </c>
      <c r="B33" t="inlineStr">
        <is>
          <t>Q2 2026</t>
        </is>
      </c>
      <c r="C33">
        <f>Ledger!$C$40/Ledger!$C$9</f>
        <v/>
      </c>
      <c r="D33" t="inlineStr">
        <is>
          <t>net_income_attributable[Q2 2026]/revenue[Q2 2026]</t>
        </is>
      </c>
      <c r="E33" t="inlineStr">
        <is>
          <t>net_income_attributable.Q2 2026, revenue.Q2 2026</t>
        </is>
      </c>
      <c r="F33" t="inlineStr"/>
    </row>
    <row r="34">
      <c r="A34" t="inlineStr">
        <is>
          <t>net_margin</t>
        </is>
      </c>
      <c r="B34" t="inlineStr">
        <is>
          <t>H1 2025</t>
        </is>
      </c>
      <c r="C34">
        <f>Ledger!$C$41/Ledger!$C$10</f>
        <v/>
      </c>
      <c r="D34" t="inlineStr">
        <is>
          <t>net_income_attributable[H1 2025]/revenue[H1 2025]</t>
        </is>
      </c>
      <c r="E34" t="inlineStr">
        <is>
          <t>net_income_attributable.H1 2025, revenue.H1 2025</t>
        </is>
      </c>
      <c r="F34" t="inlineStr"/>
    </row>
    <row r="35">
      <c r="A35" t="inlineStr">
        <is>
          <t>net_margin</t>
        </is>
      </c>
      <c r="B35" t="inlineStr">
        <is>
          <t>H1 2026</t>
        </is>
      </c>
      <c r="C35">
        <f>Ledger!$C$42/Ledger!$C$11</f>
        <v/>
      </c>
      <c r="D35" t="inlineStr">
        <is>
          <t>net_income_attributable[H1 2026]/revenue[H1 2026]</t>
        </is>
      </c>
      <c r="E35" t="inlineStr">
        <is>
          <t>net_income_attributable.H1 2026, revenue.H1 2026</t>
        </is>
      </c>
      <c r="F35" t="inlineStr"/>
    </row>
    <row r="36">
      <c r="A36" t="inlineStr">
        <is>
          <t>net_margin</t>
        </is>
      </c>
      <c r="B36" t="inlineStr">
        <is>
          <t>LTM to Q2 2026</t>
        </is>
      </c>
      <c r="D36" t="inlineStr">
        <is>
          <t>net_income_attributable[LTM to Q2 2026]/revenue[LTM to Q2 2026]</t>
        </is>
      </c>
      <c r="E36" t="inlineStr"/>
      <c r="F36" t="inlineStr">
        <is>
          <t>net_income_attributable or revenue missing</t>
        </is>
      </c>
    </row>
    <row r="37">
      <c r="A37" t="inlineStr">
        <is>
          <t>adjusted_ebita_margin</t>
        </is>
      </c>
      <c r="B37" t="inlineStr">
        <is>
          <t>FY2022</t>
        </is>
      </c>
      <c r="D37" t="inlineStr">
        <is>
          <t>adjusted_ebita[FY2022]/revenue[FY2022]</t>
        </is>
      </c>
      <c r="E37" t="inlineStr"/>
      <c r="F37" t="inlineStr">
        <is>
          <t>adjusted_ebita not found in ledger for any period (see ledger unmapped[] gap note)</t>
        </is>
      </c>
    </row>
    <row r="38">
      <c r="A38" t="inlineStr">
        <is>
          <t>adjusted_ebita_margin</t>
        </is>
      </c>
      <c r="B38" t="inlineStr">
        <is>
          <t>FY2023</t>
        </is>
      </c>
      <c r="D38" t="inlineStr">
        <is>
          <t>adjusted_ebita[FY2023]/revenue[FY2023]</t>
        </is>
      </c>
      <c r="E38" t="inlineStr"/>
      <c r="F38" t="inlineStr">
        <is>
          <t>adjusted_ebita not found in ledger for any period (see ledger unmapped[] gap note)</t>
        </is>
      </c>
    </row>
    <row r="39">
      <c r="A39" t="inlineStr">
        <is>
          <t>adjusted_ebita_margin</t>
        </is>
      </c>
      <c r="B39" t="inlineStr">
        <is>
          <t>FY2024</t>
        </is>
      </c>
      <c r="D39" t="inlineStr">
        <is>
          <t>adjusted_ebita[FY2024]/revenue[FY2024]</t>
        </is>
      </c>
      <c r="E39" t="inlineStr"/>
      <c r="F39" t="inlineStr">
        <is>
          <t>adjusted_ebita not found in ledger for any period (see ledger unmapped[] gap note)</t>
        </is>
      </c>
    </row>
    <row r="40">
      <c r="A40" t="inlineStr">
        <is>
          <t>adjusted_ebita_margin</t>
        </is>
      </c>
      <c r="B40" t="inlineStr">
        <is>
          <t>FY2025</t>
        </is>
      </c>
      <c r="D40" t="inlineStr">
        <is>
          <t>adjusted_ebita[FY2025]/revenue[FY2025]</t>
        </is>
      </c>
      <c r="E40" t="inlineStr"/>
      <c r="F40" t="inlineStr">
        <is>
          <t>adjusted_ebita not found in ledger for any period (see ledger unmapped[] gap note)</t>
        </is>
      </c>
    </row>
    <row r="41">
      <c r="A41" t="inlineStr">
        <is>
          <t>adjusted_ebita_margin</t>
        </is>
      </c>
      <c r="B41" t="inlineStr">
        <is>
          <t>Q1 2025</t>
        </is>
      </c>
      <c r="D41" t="inlineStr">
        <is>
          <t>adjusted_ebita[Q1 2025]/revenue[Q1 2025]</t>
        </is>
      </c>
      <c r="E41" t="inlineStr"/>
      <c r="F41" t="inlineStr">
        <is>
          <t>adjusted_ebita not found in ledger for any period (see ledger unmapped[] gap note)</t>
        </is>
      </c>
    </row>
    <row r="42">
      <c r="A42" t="inlineStr">
        <is>
          <t>adjusted_ebita_margin</t>
        </is>
      </c>
      <c r="B42" t="inlineStr">
        <is>
          <t>Q1 2026</t>
        </is>
      </c>
      <c r="D42" t="inlineStr">
        <is>
          <t>adjusted_ebita[Q1 2026]/revenue[Q1 2026]</t>
        </is>
      </c>
      <c r="E42" t="inlineStr"/>
      <c r="F42" t="inlineStr">
        <is>
          <t>adjusted_ebita not found in ledger for any period (see ledger unmapped[] gap note)</t>
        </is>
      </c>
    </row>
    <row r="43">
      <c r="A43" t="inlineStr">
        <is>
          <t>adjusted_ebita_margin</t>
        </is>
      </c>
      <c r="B43" t="inlineStr">
        <is>
          <t>Q2 2025</t>
        </is>
      </c>
      <c r="D43" t="inlineStr">
        <is>
          <t>adjusted_ebita[Q2 2025]/revenue[Q2 2025]</t>
        </is>
      </c>
      <c r="E43" t="inlineStr"/>
      <c r="F43" t="inlineStr">
        <is>
          <t>adjusted_ebita not found in ledger for any period (see ledger unmapped[] gap note)</t>
        </is>
      </c>
    </row>
    <row r="44">
      <c r="A44" t="inlineStr">
        <is>
          <t>adjusted_ebita_margin</t>
        </is>
      </c>
      <c r="B44" t="inlineStr">
        <is>
          <t>Q2 2026</t>
        </is>
      </c>
      <c r="D44" t="inlineStr">
        <is>
          <t>adjusted_ebita[Q2 2026]/revenue[Q2 2026]</t>
        </is>
      </c>
      <c r="E44" t="inlineStr"/>
      <c r="F44" t="inlineStr">
        <is>
          <t>adjusted_ebita not found in ledger for any period (see ledger unmapped[] gap note)</t>
        </is>
      </c>
    </row>
    <row r="45">
      <c r="A45" t="inlineStr">
        <is>
          <t>adjusted_ebita_margin</t>
        </is>
      </c>
      <c r="B45" t="inlineStr">
        <is>
          <t>H1 2025</t>
        </is>
      </c>
      <c r="D45" t="inlineStr">
        <is>
          <t>adjusted_ebita[H1 2025]/revenue[H1 2025]</t>
        </is>
      </c>
      <c r="E45" t="inlineStr"/>
      <c r="F45" t="inlineStr">
        <is>
          <t>adjusted_ebita not found in ledger for any period (see ledger unmapped[] gap note)</t>
        </is>
      </c>
    </row>
    <row r="46">
      <c r="A46" t="inlineStr">
        <is>
          <t>adjusted_ebita_margin</t>
        </is>
      </c>
      <c r="B46" t="inlineStr">
        <is>
          <t>H1 2026</t>
        </is>
      </c>
      <c r="D46" t="inlineStr">
        <is>
          <t>adjusted_ebita[H1 2026]/revenue[H1 2026]</t>
        </is>
      </c>
      <c r="E46" t="inlineStr"/>
      <c r="F46" t="inlineStr">
        <is>
          <t>adjusted_ebita not found in ledger for any period (see ledger unmapped[] gap note)</t>
        </is>
      </c>
    </row>
    <row r="47">
      <c r="A47" t="inlineStr">
        <is>
          <t>adjusted_ebita_margin</t>
        </is>
      </c>
      <c r="B47" t="inlineStr">
        <is>
          <t>LTM to Q2 2026</t>
        </is>
      </c>
      <c r="D47" t="inlineStr">
        <is>
          <t>adjusted_ebita[LTM to Q2 2026]/revenue[LTM to Q2 2026]</t>
        </is>
      </c>
      <c r="E47" t="inlineStr"/>
      <c r="F47" t="inlineStr">
        <is>
          <t>adjusted_ebita not found in ledger for any period (see ledger unmapped[] gap note)</t>
        </is>
      </c>
    </row>
    <row r="48">
      <c r="A48" t="inlineStr">
        <is>
          <t>cfo_margin</t>
        </is>
      </c>
      <c r="B48" t="inlineStr">
        <is>
          <t>FY2022</t>
        </is>
      </c>
      <c r="D48" t="inlineStr">
        <is>
          <t>cash_from_operations[FY2022]/revenue[FY2022]</t>
        </is>
      </c>
      <c r="E48" t="inlineStr"/>
      <c r="F48" t="inlineStr">
        <is>
          <t>cash_from_operations or revenue missing</t>
        </is>
      </c>
    </row>
    <row r="49">
      <c r="A49" t="inlineStr">
        <is>
          <t>cfo_margin</t>
        </is>
      </c>
      <c r="B49" t="inlineStr">
        <is>
          <t>FY2023</t>
        </is>
      </c>
      <c r="C49">
        <f>Ledger!$C$53/Ledger!$C$3</f>
        <v/>
      </c>
      <c r="D49" t="inlineStr">
        <is>
          <t>cash_from_operations[FY2023]/revenue[FY2023]</t>
        </is>
      </c>
      <c r="E49" t="inlineStr">
        <is>
          <t>cash_from_operations.FY2023, revenue.FY2023</t>
        </is>
      </c>
      <c r="F49" t="inlineStr"/>
    </row>
    <row r="50">
      <c r="A50" t="inlineStr">
        <is>
          <t>cfo_margin</t>
        </is>
      </c>
      <c r="B50" t="inlineStr">
        <is>
          <t>FY2024</t>
        </is>
      </c>
      <c r="C50">
        <f>Ledger!$C$54/Ledger!$C$4</f>
        <v/>
      </c>
      <c r="D50" t="inlineStr">
        <is>
          <t>cash_from_operations[FY2024]/revenue[FY2024]</t>
        </is>
      </c>
      <c r="E50" t="inlineStr">
        <is>
          <t>cash_from_operations.FY2024, revenue.FY2024</t>
        </is>
      </c>
      <c r="F50" t="inlineStr"/>
    </row>
    <row r="51">
      <c r="A51" t="inlineStr">
        <is>
          <t>cfo_margin</t>
        </is>
      </c>
      <c r="B51" t="inlineStr">
        <is>
          <t>FY2025</t>
        </is>
      </c>
      <c r="C51">
        <f>Ledger!$C$55/Ledger!$C$5</f>
        <v/>
      </c>
      <c r="D51" t="inlineStr">
        <is>
          <t>cash_from_operations[FY2025]/revenue[FY2025]</t>
        </is>
      </c>
      <c r="E51" t="inlineStr">
        <is>
          <t>cash_from_operations.FY2025, revenue.FY2025</t>
        </is>
      </c>
      <c r="F51" t="inlineStr"/>
    </row>
    <row r="52">
      <c r="A52" t="inlineStr">
        <is>
          <t>cfo_margin</t>
        </is>
      </c>
      <c r="B52" t="inlineStr">
        <is>
          <t>Q1 2025</t>
        </is>
      </c>
      <c r="C52">
        <f>Ledger!$C$56/Ledger!$C$6</f>
        <v/>
      </c>
      <c r="D52" t="inlineStr">
        <is>
          <t>cash_from_operations[Q1 2025]/revenue[Q1 2025]</t>
        </is>
      </c>
      <c r="E52" t="inlineStr">
        <is>
          <t>cash_from_operations.Q1 2025, revenue.Q1 2025</t>
        </is>
      </c>
      <c r="F52" t="inlineStr"/>
    </row>
    <row r="53">
      <c r="A53" t="inlineStr">
        <is>
          <t>cfo_margin</t>
        </is>
      </c>
      <c r="B53" t="inlineStr">
        <is>
          <t>Q1 2026</t>
        </is>
      </c>
      <c r="C53">
        <f>Ledger!$C$57/Ledger!$C$7</f>
        <v/>
      </c>
      <c r="D53" t="inlineStr">
        <is>
          <t>cash_from_operations[Q1 2026]/revenue[Q1 2026]</t>
        </is>
      </c>
      <c r="E53" t="inlineStr">
        <is>
          <t>cash_from_operations.Q1 2026, revenue.Q1 2026</t>
        </is>
      </c>
      <c r="F53" t="inlineStr"/>
    </row>
    <row r="54">
      <c r="A54" t="inlineStr">
        <is>
          <t>cfo_margin</t>
        </is>
      </c>
      <c r="B54" t="inlineStr">
        <is>
          <t>Q2 2025</t>
        </is>
      </c>
      <c r="C54">
        <f>Ledger!$C$58/Ledger!$C$8</f>
        <v/>
      </c>
      <c r="D54" t="inlineStr">
        <is>
          <t>cash_from_operations[Q2 2025]/revenue[Q2 2025]</t>
        </is>
      </c>
      <c r="E54" t="inlineStr">
        <is>
          <t>cash_from_operations.Q2 2025, revenue.Q2 2025</t>
        </is>
      </c>
      <c r="F54" t="inlineStr"/>
    </row>
    <row r="55">
      <c r="A55" t="inlineStr">
        <is>
          <t>cfo_margin</t>
        </is>
      </c>
      <c r="B55" t="inlineStr">
        <is>
          <t>Q2 2026</t>
        </is>
      </c>
      <c r="C55">
        <f>Ledger!$C$59/Ledger!$C$9</f>
        <v/>
      </c>
      <c r="D55" t="inlineStr">
        <is>
          <t>cash_from_operations[Q2 2026]/revenue[Q2 2026]</t>
        </is>
      </c>
      <c r="E55" t="inlineStr">
        <is>
          <t>cash_from_operations.Q2 2026, revenue.Q2 2026</t>
        </is>
      </c>
      <c r="F55" t="inlineStr"/>
    </row>
    <row r="56">
      <c r="A56" t="inlineStr">
        <is>
          <t>cfo_margin</t>
        </is>
      </c>
      <c r="B56" t="inlineStr">
        <is>
          <t>H1 2025</t>
        </is>
      </c>
      <c r="C56">
        <f>Ledger!$C$60/Ledger!$C$10</f>
        <v/>
      </c>
      <c r="D56" t="inlineStr">
        <is>
          <t>cash_from_operations[H1 2025]/revenue[H1 2025]</t>
        </is>
      </c>
      <c r="E56" t="inlineStr">
        <is>
          <t>cash_from_operations.H1 2025, revenue.H1 2025</t>
        </is>
      </c>
      <c r="F56" t="inlineStr"/>
    </row>
    <row r="57">
      <c r="A57" t="inlineStr">
        <is>
          <t>cfo_margin</t>
        </is>
      </c>
      <c r="B57" t="inlineStr">
        <is>
          <t>H1 2026</t>
        </is>
      </c>
      <c r="C57">
        <f>Ledger!$C$61/Ledger!$C$11</f>
        <v/>
      </c>
      <c r="D57" t="inlineStr">
        <is>
          <t>cash_from_operations[H1 2026]/revenue[H1 2026]</t>
        </is>
      </c>
      <c r="E57" t="inlineStr">
        <is>
          <t>cash_from_operations.H1 2026, revenue.H1 2026</t>
        </is>
      </c>
      <c r="F57" t="inlineStr"/>
    </row>
    <row r="58">
      <c r="A58" t="inlineStr">
        <is>
          <t>cfo_margin</t>
        </is>
      </c>
      <c r="B58" t="inlineStr">
        <is>
          <t>LTM to Q2 2026</t>
        </is>
      </c>
      <c r="D58" t="inlineStr">
        <is>
          <t>cash_from_operations[LTM to Q2 2026]/revenue[LTM to Q2 2026]</t>
        </is>
      </c>
      <c r="E58" t="inlineStr"/>
      <c r="F58" t="inlineStr">
        <is>
          <t>cash_from_operations or revenue missing</t>
        </is>
      </c>
    </row>
    <row r="59">
      <c r="A59" t="inlineStr">
        <is>
          <t>fcfa2s_margin</t>
        </is>
      </c>
      <c r="B59" t="inlineStr">
        <is>
          <t>FY2022</t>
        </is>
      </c>
      <c r="C59">
        <f>Ledger!$C$62/Ledger!$C$2</f>
        <v/>
      </c>
      <c r="D59" t="inlineStr">
        <is>
          <t>fcfa2s[FY2022]/revenue[FY2022]</t>
        </is>
      </c>
      <c r="E59" t="inlineStr">
        <is>
          <t>fcfa2s.FY2022, revenue.FY2022</t>
        </is>
      </c>
      <c r="F59" t="inlineStr"/>
    </row>
    <row r="60">
      <c r="A60" t="inlineStr">
        <is>
          <t>fcfa2s_margin</t>
        </is>
      </c>
      <c r="B60" t="inlineStr">
        <is>
          <t>FY2023</t>
        </is>
      </c>
      <c r="C60">
        <f>Ledger!$C$63/Ledger!$C$3</f>
        <v/>
      </c>
      <c r="D60" t="inlineStr">
        <is>
          <t>fcfa2s[FY2023]/revenue[FY2023]</t>
        </is>
      </c>
      <c r="E60" t="inlineStr">
        <is>
          <t>fcfa2s.FY2023, revenue.FY2023</t>
        </is>
      </c>
      <c r="F60" t="inlineStr"/>
    </row>
    <row r="61">
      <c r="A61" t="inlineStr">
        <is>
          <t>fcfa2s_margin</t>
        </is>
      </c>
      <c r="B61" t="inlineStr">
        <is>
          <t>FY2024</t>
        </is>
      </c>
      <c r="C61">
        <f>Ledger!$C$64/Ledger!$C$4</f>
        <v/>
      </c>
      <c r="D61" t="inlineStr">
        <is>
          <t>fcfa2s[FY2024]/revenue[FY2024]</t>
        </is>
      </c>
      <c r="E61" t="inlineStr">
        <is>
          <t>fcfa2s.FY2024, revenue.FY2024</t>
        </is>
      </c>
      <c r="F61" t="inlineStr"/>
    </row>
    <row r="62">
      <c r="A62" t="inlineStr">
        <is>
          <t>fcfa2s_margin</t>
        </is>
      </c>
      <c r="B62" t="inlineStr">
        <is>
          <t>FY2025</t>
        </is>
      </c>
      <c r="C62">
        <f>Ledger!$C$65/Ledger!$C$5</f>
        <v/>
      </c>
      <c r="D62" t="inlineStr">
        <is>
          <t>fcfa2s[FY2025]/revenue[FY2025]</t>
        </is>
      </c>
      <c r="E62" t="inlineStr">
        <is>
          <t>fcfa2s.FY2025, revenue.FY2025</t>
        </is>
      </c>
      <c r="F62" t="inlineStr"/>
    </row>
    <row r="63">
      <c r="A63" t="inlineStr">
        <is>
          <t>fcfa2s_margin</t>
        </is>
      </c>
      <c r="B63" t="inlineStr">
        <is>
          <t>Q1 2025</t>
        </is>
      </c>
      <c r="C63">
        <f>Ledger!$C$66/Ledger!$C$6</f>
        <v/>
      </c>
      <c r="D63" t="inlineStr">
        <is>
          <t>fcfa2s[Q1 2025]/revenue[Q1 2025]</t>
        </is>
      </c>
      <c r="E63" t="inlineStr">
        <is>
          <t>fcfa2s.Q1 2025, revenue.Q1 2025</t>
        </is>
      </c>
      <c r="F63" t="inlineStr"/>
    </row>
    <row r="64">
      <c r="A64" t="inlineStr">
        <is>
          <t>fcfa2s_margin</t>
        </is>
      </c>
      <c r="B64" t="inlineStr">
        <is>
          <t>Q1 2026</t>
        </is>
      </c>
      <c r="C64">
        <f>Ledger!$C$67/Ledger!$C$7</f>
        <v/>
      </c>
      <c r="D64" t="inlineStr">
        <is>
          <t>fcfa2s[Q1 2026]/revenue[Q1 2026]</t>
        </is>
      </c>
      <c r="E64" t="inlineStr">
        <is>
          <t>fcfa2s.Q1 2026, revenue.Q1 2026</t>
        </is>
      </c>
      <c r="F64" t="inlineStr"/>
    </row>
    <row r="65">
      <c r="A65" t="inlineStr">
        <is>
          <t>fcfa2s_margin</t>
        </is>
      </c>
      <c r="B65" t="inlineStr">
        <is>
          <t>Q2 2025</t>
        </is>
      </c>
      <c r="C65">
        <f>Ledger!$C$68/Ledger!$C$8</f>
        <v/>
      </c>
      <c r="D65" t="inlineStr">
        <is>
          <t>fcfa2s[Q2 2025]/revenue[Q2 2025]</t>
        </is>
      </c>
      <c r="E65" t="inlineStr">
        <is>
          <t>fcfa2s.Q2 2025, revenue.Q2 2025</t>
        </is>
      </c>
      <c r="F65" t="inlineStr"/>
    </row>
    <row r="66">
      <c r="A66" t="inlineStr">
        <is>
          <t>fcfa2s_margin</t>
        </is>
      </c>
      <c r="B66" t="inlineStr">
        <is>
          <t>Q2 2026</t>
        </is>
      </c>
      <c r="C66">
        <f>Ledger!$C$69/Ledger!$C$9</f>
        <v/>
      </c>
      <c r="D66" t="inlineStr">
        <is>
          <t>fcfa2s[Q2 2026]/revenue[Q2 2026]</t>
        </is>
      </c>
      <c r="E66" t="inlineStr">
        <is>
          <t>fcfa2s.Q2 2026, revenue.Q2 2026</t>
        </is>
      </c>
      <c r="F66" t="inlineStr"/>
    </row>
    <row r="67">
      <c r="A67" t="inlineStr">
        <is>
          <t>fcfa2s_margin</t>
        </is>
      </c>
      <c r="B67" t="inlineStr">
        <is>
          <t>H1 2025</t>
        </is>
      </c>
      <c r="D67" t="inlineStr">
        <is>
          <t>fcfa2s[H1 2025]/revenue[H1 2025]</t>
        </is>
      </c>
      <c r="E67" t="inlineStr"/>
      <c r="F67" t="inlineStr">
        <is>
          <t>fcfa2s or revenue missing</t>
        </is>
      </c>
    </row>
    <row r="68">
      <c r="A68" t="inlineStr">
        <is>
          <t>fcfa2s_margin</t>
        </is>
      </c>
      <c r="B68" t="inlineStr">
        <is>
          <t>H1 2026</t>
        </is>
      </c>
      <c r="D68" t="inlineStr">
        <is>
          <t>fcfa2s[H1 2026]/revenue[H1 2026]</t>
        </is>
      </c>
      <c r="E68" t="inlineStr"/>
      <c r="F68" t="inlineStr">
        <is>
          <t>fcfa2s or revenue missing</t>
        </is>
      </c>
    </row>
    <row r="69">
      <c r="A69" t="inlineStr">
        <is>
          <t>fcfa2s_margin</t>
        </is>
      </c>
      <c r="B69" t="inlineStr">
        <is>
          <t>LTM to Q2 2026</t>
        </is>
      </c>
      <c r="D69" t="inlineStr">
        <is>
          <t>fcfa2s[LTM to Q2 2026]/revenue[LTM to Q2 2026]</t>
        </is>
      </c>
      <c r="E69" t="inlineStr"/>
      <c r="F69" t="inlineStr">
        <is>
          <t>fcfa2s or revenue missing</t>
        </is>
      </c>
    </row>
    <row r="70">
      <c r="A70" t="inlineStr">
        <is>
          <t>cash_conversion</t>
        </is>
      </c>
      <c r="B70" t="inlineStr">
        <is>
          <t>FY2022</t>
        </is>
      </c>
      <c r="C70">
        <f>Ledger!$C$62/Ledger!$C$33</f>
        <v/>
      </c>
      <c r="D70" t="inlineStr">
        <is>
          <t>fcfa2s[FY2022]/net_income_attributable[FY2022]</t>
        </is>
      </c>
      <c r="E70" t="inlineStr">
        <is>
          <t>fcfa2s.FY2022, net_income_attributable.FY2022</t>
        </is>
      </c>
      <c r="F70" t="inlineStr"/>
    </row>
    <row r="71">
      <c r="A71" t="inlineStr">
        <is>
          <t>cash_conversion</t>
        </is>
      </c>
      <c r="B71" t="inlineStr">
        <is>
          <t>FY2023</t>
        </is>
      </c>
      <c r="C71">
        <f>Ledger!$C$63/Ledger!$C$34</f>
        <v/>
      </c>
      <c r="D71" t="inlineStr">
        <is>
          <t>fcfa2s[FY2023]/net_income_attributable[FY2023]</t>
        </is>
      </c>
      <c r="E71" t="inlineStr">
        <is>
          <t>fcfa2s.FY2023, net_income_attributable.FY2023</t>
        </is>
      </c>
      <c r="F71" t="inlineStr"/>
    </row>
    <row r="72">
      <c r="A72" t="inlineStr">
        <is>
          <t>cash_conversion</t>
        </is>
      </c>
      <c r="B72" t="inlineStr">
        <is>
          <t>FY2024</t>
        </is>
      </c>
      <c r="C72">
        <f>Ledger!$C$64/Ledger!$C$35</f>
        <v/>
      </c>
      <c r="D72" t="inlineStr">
        <is>
          <t>fcfa2s[FY2024]/net_income_attributable[FY2024]</t>
        </is>
      </c>
      <c r="E72" t="inlineStr">
        <is>
          <t>fcfa2s.FY2024, net_income_attributable.FY2024</t>
        </is>
      </c>
      <c r="F72" t="inlineStr"/>
    </row>
    <row r="73">
      <c r="A73" t="inlineStr">
        <is>
          <t>cash_conversion</t>
        </is>
      </c>
      <c r="B73" t="inlineStr">
        <is>
          <t>FY2025</t>
        </is>
      </c>
      <c r="C73">
        <f>Ledger!$C$65/Ledger!$C$36</f>
        <v/>
      </c>
      <c r="D73" t="inlineStr">
        <is>
          <t>fcfa2s[FY2025]/net_income_attributable[FY2025]</t>
        </is>
      </c>
      <c r="E73" t="inlineStr">
        <is>
          <t>fcfa2s.FY2025, net_income_attributable.FY2025</t>
        </is>
      </c>
      <c r="F73" t="inlineStr"/>
    </row>
    <row r="74">
      <c r="A74" t="inlineStr">
        <is>
          <t>cash_conversion</t>
        </is>
      </c>
      <c r="B74" t="inlineStr">
        <is>
          <t>Q1 2025</t>
        </is>
      </c>
      <c r="C74">
        <f>Ledger!$C$66/Ledger!$C$37</f>
        <v/>
      </c>
      <c r="D74" t="inlineStr">
        <is>
          <t>fcfa2s[Q1 2025]/net_income_attributable[Q1 2025]</t>
        </is>
      </c>
      <c r="E74" t="inlineStr">
        <is>
          <t>fcfa2s.Q1 2025, net_income_attributable.Q1 2025</t>
        </is>
      </c>
      <c r="F74" t="inlineStr"/>
    </row>
    <row r="75">
      <c r="A75" t="inlineStr">
        <is>
          <t>cash_conversion</t>
        </is>
      </c>
      <c r="B75" t="inlineStr">
        <is>
          <t>Q1 2026</t>
        </is>
      </c>
      <c r="C75">
        <f>Ledger!$C$67/Ledger!$C$38</f>
        <v/>
      </c>
      <c r="D75" t="inlineStr">
        <is>
          <t>fcfa2s[Q1 2026]/net_income_attributable[Q1 2026]</t>
        </is>
      </c>
      <c r="E75" t="inlineStr">
        <is>
          <t>fcfa2s.Q1 2026, net_income_attributable.Q1 2026</t>
        </is>
      </c>
      <c r="F75" t="inlineStr"/>
    </row>
    <row r="76">
      <c r="A76" t="inlineStr">
        <is>
          <t>cash_conversion</t>
        </is>
      </c>
      <c r="B76" t="inlineStr">
        <is>
          <t>Q2 2025</t>
        </is>
      </c>
      <c r="C76">
        <f>Ledger!$C$68/Ledger!$C$39</f>
        <v/>
      </c>
      <c r="D76" t="inlineStr">
        <is>
          <t>fcfa2s[Q2 2025]/net_income_attributable[Q2 2025]</t>
        </is>
      </c>
      <c r="E76" t="inlineStr">
        <is>
          <t>fcfa2s.Q2 2025, net_income_attributable.Q2 2025</t>
        </is>
      </c>
      <c r="F76" t="inlineStr"/>
    </row>
    <row r="77">
      <c r="A77" t="inlineStr">
        <is>
          <t>cash_conversion</t>
        </is>
      </c>
      <c r="B77" t="inlineStr">
        <is>
          <t>Q2 2026</t>
        </is>
      </c>
      <c r="C77">
        <f>Ledger!$C$69/Ledger!$C$40</f>
        <v/>
      </c>
      <c r="D77" t="inlineStr">
        <is>
          <t>fcfa2s[Q2 2026]/net_income_attributable[Q2 2026]</t>
        </is>
      </c>
      <c r="E77" t="inlineStr">
        <is>
          <t>fcfa2s.Q2 2026, net_income_attributable.Q2 2026</t>
        </is>
      </c>
      <c r="F77" t="inlineStr"/>
    </row>
    <row r="78">
      <c r="A78" t="inlineStr">
        <is>
          <t>cash_conversion</t>
        </is>
      </c>
      <c r="B78" t="inlineStr">
        <is>
          <t>H1 2025</t>
        </is>
      </c>
      <c r="D78" t="inlineStr">
        <is>
          <t>fcfa2s[H1 2025]/net_income_attributable[H1 2025]</t>
        </is>
      </c>
      <c r="E78" t="inlineStr"/>
      <c r="F78" t="inlineStr">
        <is>
          <t>fcfa2s or net_income_attributable missing</t>
        </is>
      </c>
    </row>
    <row r="79">
      <c r="A79" t="inlineStr">
        <is>
          <t>cash_conversion</t>
        </is>
      </c>
      <c r="B79" t="inlineStr">
        <is>
          <t>H1 2026</t>
        </is>
      </c>
      <c r="D79" t="inlineStr">
        <is>
          <t>fcfa2s[H1 2026]/net_income_attributable[H1 2026]</t>
        </is>
      </c>
      <c r="E79" t="inlineStr"/>
      <c r="F79" t="inlineStr">
        <is>
          <t>fcfa2s or net_income_attributable missing</t>
        </is>
      </c>
    </row>
    <row r="80">
      <c r="A80" t="inlineStr">
        <is>
          <t>cash_conversion</t>
        </is>
      </c>
      <c r="B80" t="inlineStr">
        <is>
          <t>LTM to Q2 2026</t>
        </is>
      </c>
      <c r="D80" t="inlineStr">
        <is>
          <t>fcfa2s[LTM to Q2 2026]/net_income_attributable[LTM to Q2 2026]</t>
        </is>
      </c>
      <c r="E80" t="inlineStr"/>
      <c r="F80" t="inlineStr">
        <is>
          <t>fcfa2s or net_income_attributable missing</t>
        </is>
      </c>
    </row>
    <row r="81">
      <c r="A81" t="inlineStr">
        <is>
          <t>capex_to_revenue</t>
        </is>
      </c>
      <c r="B81" t="inlineStr">
        <is>
          <t>FY2022</t>
        </is>
      </c>
      <c r="D81" t="inlineStr">
        <is>
          <t>capex[FY2022]/revenue[FY2022]</t>
        </is>
      </c>
      <c r="E81" t="inlineStr"/>
      <c r="F81" t="inlineStr">
        <is>
          <t>capex not found in any stage1 file / ledger (see ledger unmapped[] gap note)</t>
        </is>
      </c>
    </row>
    <row r="82">
      <c r="A82" t="inlineStr">
        <is>
          <t>capex_to_revenue</t>
        </is>
      </c>
      <c r="B82" t="inlineStr">
        <is>
          <t>FY2023</t>
        </is>
      </c>
      <c r="D82" t="inlineStr">
        <is>
          <t>capex[FY2023]/revenue[FY2023]</t>
        </is>
      </c>
      <c r="E82" t="inlineStr"/>
      <c r="F82" t="inlineStr">
        <is>
          <t>capex not found in any stage1 file / ledger (see ledger unmapped[] gap note)</t>
        </is>
      </c>
    </row>
    <row r="83">
      <c r="A83" t="inlineStr">
        <is>
          <t>capex_to_revenue</t>
        </is>
      </c>
      <c r="B83" t="inlineStr">
        <is>
          <t>FY2024</t>
        </is>
      </c>
      <c r="D83" t="inlineStr">
        <is>
          <t>capex[FY2024]/revenue[FY2024]</t>
        </is>
      </c>
      <c r="E83" t="inlineStr"/>
      <c r="F83" t="inlineStr">
        <is>
          <t>capex not found in any stage1 file / ledger (see ledger unmapped[] gap note)</t>
        </is>
      </c>
    </row>
    <row r="84">
      <c r="A84" t="inlineStr">
        <is>
          <t>capex_to_revenue</t>
        </is>
      </c>
      <c r="B84" t="inlineStr">
        <is>
          <t>FY2025</t>
        </is>
      </c>
      <c r="D84" t="inlineStr">
        <is>
          <t>capex[FY2025]/revenue[FY2025]</t>
        </is>
      </c>
      <c r="E84" t="inlineStr"/>
      <c r="F84" t="inlineStr">
        <is>
          <t>capex not found in any stage1 file / ledger (see ledger unmapped[] gap note)</t>
        </is>
      </c>
    </row>
    <row r="85">
      <c r="A85" t="inlineStr">
        <is>
          <t>capex_to_revenue</t>
        </is>
      </c>
      <c r="B85" t="inlineStr">
        <is>
          <t>Q1 2025</t>
        </is>
      </c>
      <c r="D85" t="inlineStr">
        <is>
          <t>capex[Q1 2025]/revenue[Q1 2025]</t>
        </is>
      </c>
      <c r="E85" t="inlineStr"/>
      <c r="F85" t="inlineStr">
        <is>
          <t>capex not found in any stage1 file / ledger (see ledger unmapped[] gap note)</t>
        </is>
      </c>
    </row>
    <row r="86">
      <c r="A86" t="inlineStr">
        <is>
          <t>capex_to_revenue</t>
        </is>
      </c>
      <c r="B86" t="inlineStr">
        <is>
          <t>Q1 2026</t>
        </is>
      </c>
      <c r="D86" t="inlineStr">
        <is>
          <t>capex[Q1 2026]/revenue[Q1 2026]</t>
        </is>
      </c>
      <c r="E86" t="inlineStr"/>
      <c r="F86" t="inlineStr">
        <is>
          <t>capex not found in any stage1 file / ledger (see ledger unmapped[] gap note)</t>
        </is>
      </c>
    </row>
    <row r="87">
      <c r="A87" t="inlineStr">
        <is>
          <t>capex_to_revenue</t>
        </is>
      </c>
      <c r="B87" t="inlineStr">
        <is>
          <t>Q2 2025</t>
        </is>
      </c>
      <c r="D87" t="inlineStr">
        <is>
          <t>capex[Q2 2025]/revenue[Q2 2025]</t>
        </is>
      </c>
      <c r="E87" t="inlineStr"/>
      <c r="F87" t="inlineStr">
        <is>
          <t>capex not found in any stage1 file / ledger (see ledger unmapped[] gap note)</t>
        </is>
      </c>
    </row>
    <row r="88">
      <c r="A88" t="inlineStr">
        <is>
          <t>capex_to_revenue</t>
        </is>
      </c>
      <c r="B88" t="inlineStr">
        <is>
          <t>Q2 2026</t>
        </is>
      </c>
      <c r="D88" t="inlineStr">
        <is>
          <t>capex[Q2 2026]/revenue[Q2 2026]</t>
        </is>
      </c>
      <c r="E88" t="inlineStr"/>
      <c r="F88" t="inlineStr">
        <is>
          <t>capex not found in any stage1 file / ledger (see ledger unmapped[] gap note)</t>
        </is>
      </c>
    </row>
    <row r="89">
      <c r="A89" t="inlineStr">
        <is>
          <t>capex_to_revenue</t>
        </is>
      </c>
      <c r="B89" t="inlineStr">
        <is>
          <t>H1 2025</t>
        </is>
      </c>
      <c r="D89" t="inlineStr">
        <is>
          <t>capex[H1 2025]/revenue[H1 2025]</t>
        </is>
      </c>
      <c r="E89" t="inlineStr"/>
      <c r="F89" t="inlineStr">
        <is>
          <t>capex not found in any stage1 file / ledger (see ledger unmapped[] gap note)</t>
        </is>
      </c>
    </row>
    <row r="90">
      <c r="A90" t="inlineStr">
        <is>
          <t>capex_to_revenue</t>
        </is>
      </c>
      <c r="B90" t="inlineStr">
        <is>
          <t>H1 2026</t>
        </is>
      </c>
      <c r="D90" t="inlineStr">
        <is>
          <t>capex[H1 2026]/revenue[H1 2026]</t>
        </is>
      </c>
      <c r="E90" t="inlineStr"/>
      <c r="F90" t="inlineStr">
        <is>
          <t>capex not found in any stage1 file / ledger (see ledger unmapped[] gap note)</t>
        </is>
      </c>
    </row>
    <row r="91">
      <c r="A91" t="inlineStr">
        <is>
          <t>capex_to_revenue</t>
        </is>
      </c>
      <c r="B91" t="inlineStr">
        <is>
          <t>LTM to Q2 2026</t>
        </is>
      </c>
      <c r="D91" t="inlineStr">
        <is>
          <t>capex[LTM to Q2 2026]/revenue[LTM to Q2 2026]</t>
        </is>
      </c>
      <c r="E91" t="inlineStr"/>
      <c r="F91" t="inlineStr">
        <is>
          <t>capex not found in any stage1 file / ledger (see ledger unmapped[] gap note)</t>
        </is>
      </c>
    </row>
    <row r="92">
      <c r="A92" t="inlineStr">
        <is>
          <t>acquisitions_to_fcfa2s</t>
        </is>
      </c>
      <c r="B92" t="inlineStr">
        <is>
          <t>FY2022</t>
        </is>
      </c>
      <c r="C92">
        <f>Ledger!$C$71/Ledger!$C$62</f>
        <v/>
      </c>
      <c r="D92" t="inlineStr">
        <is>
          <t>acquisitions_cash_spent[FY2022]/fcfa2s[FY2022]</t>
        </is>
      </c>
      <c r="E92" t="inlineStr">
        <is>
          <t>acquisitions_cash_spent.FY2022, fcfa2s.FY2022</t>
        </is>
      </c>
      <c r="F92" t="inlineStr"/>
    </row>
    <row r="93">
      <c r="A93" t="inlineStr">
        <is>
          <t>acquisitions_to_fcfa2s</t>
        </is>
      </c>
      <c r="B93" t="inlineStr">
        <is>
          <t>FY2023</t>
        </is>
      </c>
      <c r="C93">
        <f>Ledger!$C$72/Ledger!$C$63</f>
        <v/>
      </c>
      <c r="D93" t="inlineStr">
        <is>
          <t>acquisitions_cash_spent[FY2023]/fcfa2s[FY2023]</t>
        </is>
      </c>
      <c r="E93" t="inlineStr">
        <is>
          <t>acquisitions_cash_spent.FY2023, fcfa2s.FY2023</t>
        </is>
      </c>
      <c r="F93" t="inlineStr"/>
    </row>
    <row r="94">
      <c r="A94" t="inlineStr">
        <is>
          <t>acquisitions_to_fcfa2s</t>
        </is>
      </c>
      <c r="B94" t="inlineStr">
        <is>
          <t>FY2024</t>
        </is>
      </c>
      <c r="C94">
        <f>Ledger!$C$73/Ledger!$C$64</f>
        <v/>
      </c>
      <c r="D94" t="inlineStr">
        <is>
          <t>acquisitions_cash_spent[FY2024]/fcfa2s[FY2024]</t>
        </is>
      </c>
      <c r="E94" t="inlineStr">
        <is>
          <t>acquisitions_cash_spent.FY2024, fcfa2s.FY2024</t>
        </is>
      </c>
      <c r="F94" t="inlineStr"/>
    </row>
    <row r="95">
      <c r="A95" t="inlineStr">
        <is>
          <t>acquisitions_to_fcfa2s</t>
        </is>
      </c>
      <c r="B95" t="inlineStr">
        <is>
          <t>FY2025</t>
        </is>
      </c>
      <c r="C95">
        <f>Ledger!$C$74/Ledger!$C$65</f>
        <v/>
      </c>
      <c r="D95" t="inlineStr">
        <is>
          <t>acquisitions_cash_spent[FY2025]/fcfa2s[FY2025]</t>
        </is>
      </c>
      <c r="E95" t="inlineStr">
        <is>
          <t>acquisitions_cash_spent.FY2025, fcfa2s.FY2025</t>
        </is>
      </c>
      <c r="F95" t="inlineStr"/>
    </row>
    <row r="96">
      <c r="A96" t="inlineStr">
        <is>
          <t>acquisitions_to_fcfa2s</t>
        </is>
      </c>
      <c r="B96" t="inlineStr">
        <is>
          <t>Q1 2025</t>
        </is>
      </c>
      <c r="D96" t="inlineStr">
        <is>
          <t>acquisitions_cash_spent[Q1 2025]/fcfa2s[Q1 2025]</t>
        </is>
      </c>
      <c r="E96" t="inlineStr"/>
      <c r="F96" t="inlineStr">
        <is>
          <t>acquisitions_cash_spent or fcfa2s missing</t>
        </is>
      </c>
    </row>
    <row r="97">
      <c r="A97" t="inlineStr">
        <is>
          <t>acquisitions_to_fcfa2s</t>
        </is>
      </c>
      <c r="B97" t="inlineStr">
        <is>
          <t>Q1 2026</t>
        </is>
      </c>
      <c r="C97">
        <f>Ledger!$C$75/Ledger!$C$67</f>
        <v/>
      </c>
      <c r="D97" t="inlineStr">
        <is>
          <t>acquisitions_cash_spent[Q1 2026]/fcfa2s[Q1 2026]</t>
        </is>
      </c>
      <c r="E97" t="inlineStr">
        <is>
          <t>acquisitions_cash_spent.Q1 2026, fcfa2s.Q1 2026</t>
        </is>
      </c>
      <c r="F97" t="inlineStr"/>
    </row>
    <row r="98">
      <c r="A98" t="inlineStr">
        <is>
          <t>acquisitions_to_fcfa2s</t>
        </is>
      </c>
      <c r="B98" t="inlineStr">
        <is>
          <t>Q2 2025</t>
        </is>
      </c>
      <c r="D98" t="inlineStr">
        <is>
          <t>acquisitions_cash_spent[Q2 2025]/fcfa2s[Q2 2025]</t>
        </is>
      </c>
      <c r="E98" t="inlineStr"/>
      <c r="F98" t="inlineStr">
        <is>
          <t>acquisitions_cash_spent or fcfa2s missing</t>
        </is>
      </c>
    </row>
    <row r="99">
      <c r="A99" t="inlineStr">
        <is>
          <t>acquisitions_to_fcfa2s</t>
        </is>
      </c>
      <c r="B99" t="inlineStr">
        <is>
          <t>Q2 2026</t>
        </is>
      </c>
      <c r="C99">
        <f>Ledger!$C$76/Ledger!$C$69</f>
        <v/>
      </c>
      <c r="D99" t="inlineStr">
        <is>
          <t>acquisitions_cash_spent[Q2 2026]/fcfa2s[Q2 2026]</t>
        </is>
      </c>
      <c r="E99" t="inlineStr">
        <is>
          <t>acquisitions_cash_spent.Q2 2026, fcfa2s.Q2 2026</t>
        </is>
      </c>
      <c r="F99" t="inlineStr"/>
    </row>
    <row r="100">
      <c r="A100" t="inlineStr">
        <is>
          <t>acquisitions_to_fcfa2s</t>
        </is>
      </c>
      <c r="B100" t="inlineStr">
        <is>
          <t>H1 2025</t>
        </is>
      </c>
      <c r="D100" t="inlineStr">
        <is>
          <t>acquisitions_cash_spent[H1 2025]/fcfa2s[H1 2025]</t>
        </is>
      </c>
      <c r="E100" t="inlineStr"/>
      <c r="F100" t="inlineStr">
        <is>
          <t>acquisitions_cash_spent or fcfa2s missing</t>
        </is>
      </c>
    </row>
    <row r="101">
      <c r="A101" t="inlineStr">
        <is>
          <t>acquisitions_to_fcfa2s</t>
        </is>
      </c>
      <c r="B101" t="inlineStr">
        <is>
          <t>H1 2026</t>
        </is>
      </c>
      <c r="D101" t="inlineStr">
        <is>
          <t>acquisitions_cash_spent[H1 2026]/fcfa2s[H1 2026]</t>
        </is>
      </c>
      <c r="E101" t="inlineStr"/>
      <c r="F101" t="inlineStr">
        <is>
          <t>acquisitions_cash_spent or fcfa2s missing</t>
        </is>
      </c>
    </row>
    <row r="102">
      <c r="A102" t="inlineStr">
        <is>
          <t>acquisitions_to_fcfa2s</t>
        </is>
      </c>
      <c r="B102" t="inlineStr">
        <is>
          <t>LTM to Q2 2026</t>
        </is>
      </c>
      <c r="D102" t="inlineStr">
        <is>
          <t>acquisitions_cash_spent[LTM to Q2 2026]/fcfa2s[LTM to Q2 2026]</t>
        </is>
      </c>
      <c r="E102" t="inlineStr"/>
      <c r="F102" t="inlineStr">
        <is>
          <t>acquisitions_cash_spent or fcfa2s missing</t>
        </is>
      </c>
    </row>
    <row r="103">
      <c r="A103" t="inlineStr">
        <is>
          <t>revenue_per_share</t>
        </is>
      </c>
      <c r="B103" t="inlineStr">
        <is>
          <t>FY2023</t>
        </is>
      </c>
      <c r="C103" t="n">
        <v>396.7437470504955</v>
      </c>
      <c r="D103" t="inlineStr">
        <is>
          <t>revenue[FY2023]/shares_outstanding[FY2023]</t>
        </is>
      </c>
      <c r="E103" t="inlineStr">
        <is>
          <t>revenue.FY2023, shares_outstanding.FY2023</t>
        </is>
      </c>
      <c r="F103" t="inlineStr"/>
    </row>
    <row r="104">
      <c r="A104" t="inlineStr">
        <is>
          <t>fcfa2s_per_share</t>
        </is>
      </c>
      <c r="B104" t="inlineStr">
        <is>
          <t>FY2023</t>
        </is>
      </c>
      <c r="C104" t="n">
        <v>54.74280320906087</v>
      </c>
      <c r="D104" t="inlineStr">
        <is>
          <t>fcfa2s[FY2023]/shares_outstanding[FY2023]</t>
        </is>
      </c>
      <c r="E104" t="inlineStr">
        <is>
          <t>fcfa2s.FY2023, shares_outstanding.FY2023</t>
        </is>
      </c>
      <c r="F104" t="inlineStr"/>
    </row>
    <row r="105">
      <c r="A105" t="inlineStr">
        <is>
          <t>net_income_per_share</t>
        </is>
      </c>
      <c r="B105" t="inlineStr">
        <is>
          <t>FY2023</t>
        </is>
      </c>
      <c r="C105" t="n">
        <v>26.6635205285512</v>
      </c>
      <c r="D105" t="inlineStr">
        <is>
          <t>net_income_attributable[FY2023]/shares_outstanding[FY2023]</t>
        </is>
      </c>
      <c r="E105" t="inlineStr">
        <is>
          <t>net_income_attributable.FY2023, shares_outstanding.FY2023</t>
        </is>
      </c>
      <c r="F105" t="inlineStr"/>
    </row>
    <row r="106">
      <c r="A106" t="inlineStr">
        <is>
          <t>revenue_per_share</t>
        </is>
      </c>
      <c r="B106" t="inlineStr">
        <is>
          <t>FY2024</t>
        </is>
      </c>
      <c r="C106" t="n">
        <v>475.0353940537989</v>
      </c>
      <c r="D106" t="inlineStr">
        <is>
          <t>revenue[FY2024]/shares_outstanding[FY2024]</t>
        </is>
      </c>
      <c r="E106" t="inlineStr">
        <is>
          <t>revenue.FY2024, shares_outstanding.FY2024</t>
        </is>
      </c>
      <c r="F106" t="inlineStr"/>
    </row>
    <row r="107">
      <c r="A107" t="inlineStr">
        <is>
          <t>fcfa2s_per_share</t>
        </is>
      </c>
      <c r="B107" t="inlineStr">
        <is>
          <t>FY2024</t>
        </is>
      </c>
      <c r="C107" t="n">
        <v>69.46672958942897</v>
      </c>
      <c r="D107" t="inlineStr">
        <is>
          <t>fcfa2s[FY2024]/shares_outstanding[FY2024]</t>
        </is>
      </c>
      <c r="E107" t="inlineStr">
        <is>
          <t>fcfa2s.FY2024, shares_outstanding.FY2024</t>
        </is>
      </c>
      <c r="F107" t="inlineStr"/>
    </row>
    <row r="108">
      <c r="A108" t="inlineStr">
        <is>
          <t>net_income_per_share</t>
        </is>
      </c>
      <c r="B108" t="inlineStr">
        <is>
          <t>FY2024</t>
        </is>
      </c>
      <c r="C108" t="n">
        <v>34.49740443605474</v>
      </c>
      <c r="D108" t="inlineStr">
        <is>
          <t>net_income_attributable[FY2024]/shares_outstanding[FY2024]</t>
        </is>
      </c>
      <c r="E108" t="inlineStr">
        <is>
          <t>net_income_attributable.FY2024, shares_outstanding.FY2024</t>
        </is>
      </c>
      <c r="F108" t="inlineStr"/>
    </row>
    <row r="109">
      <c r="A109" t="inlineStr">
        <is>
          <t>revenue_per_share</t>
        </is>
      </c>
      <c r="B109" t="inlineStr">
        <is>
          <t>FY2025</t>
        </is>
      </c>
      <c r="C109" t="n">
        <v>548.5134497404435</v>
      </c>
      <c r="D109" t="inlineStr">
        <is>
          <t>revenue[FY2025]/shares_outstanding[FY2025]</t>
        </is>
      </c>
      <c r="E109" t="inlineStr">
        <is>
          <t>revenue.FY2025, shares_outstanding.FY2025</t>
        </is>
      </c>
      <c r="F109" t="inlineStr"/>
    </row>
    <row r="110">
      <c r="A110" t="inlineStr">
        <is>
          <t>fcfa2s_per_share</t>
        </is>
      </c>
      <c r="B110" t="inlineStr">
        <is>
          <t>FY2025</t>
        </is>
      </c>
      <c r="C110" t="n">
        <v>79.42425672487022</v>
      </c>
      <c r="D110" t="inlineStr">
        <is>
          <t>fcfa2s[FY2025]/shares_outstanding[FY2025]</t>
        </is>
      </c>
      <c r="E110" t="inlineStr">
        <is>
          <t>fcfa2s.FY2025, shares_outstanding.FY2025</t>
        </is>
      </c>
      <c r="F110" t="inlineStr"/>
    </row>
    <row r="111">
      <c r="A111" t="inlineStr">
        <is>
          <t>net_income_per_share</t>
        </is>
      </c>
      <c r="B111" t="inlineStr">
        <is>
          <t>FY2025</t>
        </is>
      </c>
      <c r="C111" t="n">
        <v>24.1623407267579</v>
      </c>
      <c r="D111" t="inlineStr">
        <is>
          <t>net_income_attributable[FY2025]/shares_outstanding[FY2025]</t>
        </is>
      </c>
      <c r="E111" t="inlineStr">
        <is>
          <t>net_income_attributable.FY2025, shares_outstanding.FY2025</t>
        </is>
      </c>
      <c r="F111" t="inlineStr"/>
    </row>
    <row r="112">
      <c r="A112" t="inlineStr">
        <is>
          <t>revenue_per_share</t>
        </is>
      </c>
      <c r="B112" t="inlineStr">
        <is>
          <t>Q1 2026</t>
        </is>
      </c>
      <c r="C112" t="n">
        <v>150.1179801793299</v>
      </c>
      <c r="D112" t="inlineStr">
        <is>
          <t>revenue[Q1 2026]/shares_outstanding[Q1 2026]</t>
        </is>
      </c>
      <c r="E112" t="inlineStr">
        <is>
          <t>revenue.Q1 2026, shares_outstanding.Q1 2026</t>
        </is>
      </c>
      <c r="F112" t="inlineStr"/>
    </row>
    <row r="113">
      <c r="A113" t="inlineStr">
        <is>
          <t>fcfa2s_per_share</t>
        </is>
      </c>
      <c r="B113" t="inlineStr">
        <is>
          <t>Q1 2026</t>
        </is>
      </c>
      <c r="C113" t="n">
        <v>34.59178857951864</v>
      </c>
      <c r="D113" t="inlineStr">
        <is>
          <t>fcfa2s[Q1 2026]/shares_outstanding[Q1 2026]</t>
        </is>
      </c>
      <c r="E113" t="inlineStr">
        <is>
          <t>fcfa2s.Q1 2026, shares_outstanding.Q1 2026</t>
        </is>
      </c>
      <c r="F113" t="inlineStr"/>
    </row>
    <row r="114">
      <c r="A114" t="inlineStr">
        <is>
          <t>net_income_per_share</t>
        </is>
      </c>
      <c r="B114" t="inlineStr">
        <is>
          <t>Q1 2026</t>
        </is>
      </c>
      <c r="C114" t="n">
        <v>17.3194903256253</v>
      </c>
      <c r="D114" t="inlineStr">
        <is>
          <t>net_income_attributable[Q1 2026]/shares_outstanding[Q1 2026]</t>
        </is>
      </c>
      <c r="E114" t="inlineStr">
        <is>
          <t>net_income_attributable.Q1 2026, shares_outstanding.Q1 2026</t>
        </is>
      </c>
      <c r="F114" t="inlineStr"/>
    </row>
    <row r="115">
      <c r="A115" t="inlineStr">
        <is>
          <t>revenue_per_share</t>
        </is>
      </c>
      <c r="B115" t="inlineStr">
        <is>
          <t>Q2 2026</t>
        </is>
      </c>
      <c r="C115" t="n">
        <v>157.38555922605</v>
      </c>
      <c r="D115" t="inlineStr">
        <is>
          <t>revenue[Q2 2026]/shares_outstanding[Q2 2026]</t>
        </is>
      </c>
      <c r="E115" t="inlineStr">
        <is>
          <t>revenue.Q2 2026, shares_outstanding.Q2 2026</t>
        </is>
      </c>
      <c r="F115" t="inlineStr"/>
    </row>
    <row r="116">
      <c r="A116" t="inlineStr">
        <is>
          <t>fcfa2s_per_share</t>
        </is>
      </c>
      <c r="B116" t="inlineStr">
        <is>
          <t>Q2 2026</t>
        </is>
      </c>
      <c r="C116" t="n">
        <v>16.28126474752241</v>
      </c>
      <c r="D116" t="inlineStr">
        <is>
          <t>fcfa2s[Q2 2026]/shares_outstanding[Q2 2026]</t>
        </is>
      </c>
      <c r="E116" t="inlineStr">
        <is>
          <t>fcfa2s.Q2 2026, shares_outstanding.Q2 2026</t>
        </is>
      </c>
      <c r="F116" t="inlineStr"/>
    </row>
    <row r="117">
      <c r="A117" t="inlineStr">
        <is>
          <t>net_income_per_share</t>
        </is>
      </c>
      <c r="B117" t="inlineStr">
        <is>
          <t>Q2 2026</t>
        </is>
      </c>
      <c r="C117" t="n">
        <v>12.93062765455403</v>
      </c>
      <c r="D117" t="inlineStr">
        <is>
          <t>net_income_attributable[Q2 2026]/shares_outstanding[Q2 2026]</t>
        </is>
      </c>
      <c r="E117" t="inlineStr">
        <is>
          <t>net_income_attributable.Q2 2026, shares_outstanding.Q2 2026</t>
        </is>
      </c>
      <c r="F117" t="inlineStr"/>
    </row>
    <row r="118">
      <c r="A118" t="inlineStr">
        <is>
          <t>dividends_per_share_reported</t>
        </is>
      </c>
      <c r="B118" t="inlineStr">
        <is>
          <t>FY2022</t>
        </is>
      </c>
      <c r="C118" t="n">
        <v>4</v>
      </c>
      <c r="D118" t="inlineStr">
        <is>
          <t>dividends_per_share[FY2022] (already per-share in ledger)</t>
        </is>
      </c>
      <c r="E118" t="inlineStr">
        <is>
          <t>dividends_per_share.FY2022</t>
        </is>
      </c>
      <c r="F118" t="inlineStr"/>
    </row>
    <row r="119">
      <c r="A119" t="inlineStr">
        <is>
          <t>dividends_per_share_reported</t>
        </is>
      </c>
      <c r="B119" t="inlineStr">
        <is>
          <t>FY2023</t>
        </is>
      </c>
      <c r="C119" t="n">
        <v>4</v>
      </c>
      <c r="D119" t="inlineStr">
        <is>
          <t>dividends_per_share[FY2023] (already per-share in ledger)</t>
        </is>
      </c>
      <c r="E119" t="inlineStr">
        <is>
          <t>dividends_per_share.FY2023</t>
        </is>
      </c>
      <c r="F119" t="inlineStr"/>
    </row>
    <row r="120">
      <c r="A120" t="inlineStr">
        <is>
          <t>dividends_per_share_reported</t>
        </is>
      </c>
      <c r="B120" t="inlineStr">
        <is>
          <t>FY2024</t>
        </is>
      </c>
      <c r="C120" t="n">
        <v>4</v>
      </c>
      <c r="D120" t="inlineStr">
        <is>
          <t>dividends_per_share[FY2024] (already per-share in ledger)</t>
        </is>
      </c>
      <c r="E120" t="inlineStr">
        <is>
          <t>dividends_per_share.FY2024</t>
        </is>
      </c>
      <c r="F120" t="inlineStr"/>
    </row>
    <row r="121">
      <c r="A121" t="inlineStr">
        <is>
          <t>dividends_per_share_reported</t>
        </is>
      </c>
      <c r="B121" t="inlineStr">
        <is>
          <t>FY2025</t>
        </is>
      </c>
      <c r="C121" t="n">
        <v>4</v>
      </c>
      <c r="D121" t="inlineStr">
        <is>
          <t>dividends_per_share[FY2025] (already per-share in ledger)</t>
        </is>
      </c>
      <c r="E121" t="inlineStr">
        <is>
          <t>dividends_per_share.FY2025</t>
        </is>
      </c>
      <c r="F121" t="inlineStr"/>
    </row>
    <row r="122">
      <c r="A122" t="inlineStr">
        <is>
          <t>dividends_per_share_reported</t>
        </is>
      </c>
      <c r="B122" t="inlineStr">
        <is>
          <t>Q1 2025</t>
        </is>
      </c>
      <c r="D122" t="inlineStr">
        <is>
          <t>dividends_per_share[Q1 2025]</t>
        </is>
      </c>
      <c r="E122" t="inlineStr"/>
      <c r="F122" t="inlineStr">
        <is>
          <t>dividends_per_share missing for this period</t>
        </is>
      </c>
    </row>
    <row r="123">
      <c r="A123" t="inlineStr">
        <is>
          <t>dividends_per_share_reported</t>
        </is>
      </c>
      <c r="B123" t="inlineStr">
        <is>
          <t>Q1 2026</t>
        </is>
      </c>
      <c r="C123" t="n">
        <v>1</v>
      </c>
      <c r="D123" t="inlineStr">
        <is>
          <t>dividends_per_share[Q1 2026] (already per-share in ledger)</t>
        </is>
      </c>
      <c r="E123" t="inlineStr">
        <is>
          <t>dividends_per_share.Q1 2026</t>
        </is>
      </c>
      <c r="F123" t="inlineStr"/>
    </row>
    <row r="124">
      <c r="A124" t="inlineStr">
        <is>
          <t>dividends_per_share_reported</t>
        </is>
      </c>
      <c r="B124" t="inlineStr">
        <is>
          <t>Q2 2025</t>
        </is>
      </c>
      <c r="D124" t="inlineStr">
        <is>
          <t>dividends_per_share[Q2 2025]</t>
        </is>
      </c>
      <c r="E124" t="inlineStr"/>
      <c r="F124" t="inlineStr">
        <is>
          <t>dividends_per_share missing for this period</t>
        </is>
      </c>
    </row>
    <row r="125">
      <c r="A125" t="inlineStr">
        <is>
          <t>dividends_per_share_reported</t>
        </is>
      </c>
      <c r="B125" t="inlineStr">
        <is>
          <t>Q2 2026</t>
        </is>
      </c>
      <c r="C125" t="n">
        <v>1</v>
      </c>
      <c r="D125" t="inlineStr">
        <is>
          <t>dividends_per_share[Q2 2026] (already per-share in ledger)</t>
        </is>
      </c>
      <c r="E125" t="inlineStr">
        <is>
          <t>dividends_per_share.Q2 2026</t>
        </is>
      </c>
      <c r="F125" t="inlineStr"/>
    </row>
    <row r="126">
      <c r="A126" t="inlineStr">
        <is>
          <t>dividends_per_share_reported</t>
        </is>
      </c>
      <c r="B126" t="inlineStr">
        <is>
          <t>H1 2025</t>
        </is>
      </c>
      <c r="D126" t="inlineStr">
        <is>
          <t>dividends_per_share[H1 2025]</t>
        </is>
      </c>
      <c r="E126" t="inlineStr"/>
      <c r="F126" t="inlineStr">
        <is>
          <t>dividends_per_share missing for this period</t>
        </is>
      </c>
    </row>
    <row r="127">
      <c r="A127" t="inlineStr">
        <is>
          <t>dividends_per_share_reported</t>
        </is>
      </c>
      <c r="B127" t="inlineStr">
        <is>
          <t>H1 2026</t>
        </is>
      </c>
      <c r="D127" t="inlineStr">
        <is>
          <t>dividends_per_share[H1 2026]</t>
        </is>
      </c>
      <c r="E127" t="inlineStr"/>
      <c r="F127" t="inlineStr">
        <is>
          <t>dividends_per_share missing for this period</t>
        </is>
      </c>
    </row>
    <row r="128">
      <c r="A128" t="inlineStr">
        <is>
          <t>dividends_per_share_reported</t>
        </is>
      </c>
      <c r="B128" t="inlineStr">
        <is>
          <t>LTM to Q2 2026</t>
        </is>
      </c>
      <c r="D128" t="inlineStr">
        <is>
          <t>dividends_per_share[LTM to Q2 2026]</t>
        </is>
      </c>
      <c r="E128" t="inlineStr"/>
      <c r="F128" t="inlineStr">
        <is>
          <t>dividends_per_share missing for this period</t>
        </is>
      </c>
    </row>
    <row r="129">
      <c r="A129" t="inlineStr">
        <is>
          <t>revenue_per_share</t>
        </is>
      </c>
      <c r="B129" t="inlineStr">
        <is>
          <t>FY2022</t>
        </is>
      </c>
      <c r="D129" t="inlineStr">
        <is>
          <t>n/shares_outstanding[FY2022]</t>
        </is>
      </c>
      <c r="E129" t="inlineStr"/>
      <c r="F129" t="inlineStr">
        <is>
          <t>shares_outstanding missing for this period</t>
        </is>
      </c>
    </row>
    <row r="130">
      <c r="A130" t="inlineStr">
        <is>
          <t>fcfa2s_per_share</t>
        </is>
      </c>
      <c r="B130" t="inlineStr">
        <is>
          <t>FY2022</t>
        </is>
      </c>
      <c r="D130" t="inlineStr">
        <is>
          <t>n/shares_outstanding[FY2022]</t>
        </is>
      </c>
      <c r="E130" t="inlineStr"/>
      <c r="F130" t="inlineStr">
        <is>
          <t>shares_outstanding missing for this period</t>
        </is>
      </c>
    </row>
    <row r="131">
      <c r="A131" t="inlineStr">
        <is>
          <t>net_income_per_share</t>
        </is>
      </c>
      <c r="B131" t="inlineStr">
        <is>
          <t>FY2022</t>
        </is>
      </c>
      <c r="D131" t="inlineStr">
        <is>
          <t>n/shares_outstanding[FY2022]</t>
        </is>
      </c>
      <c r="E131" t="inlineStr"/>
      <c r="F131" t="inlineStr">
        <is>
          <t>shares_outstanding missing for this period</t>
        </is>
      </c>
    </row>
    <row r="132">
      <c r="A132" t="inlineStr">
        <is>
          <t>revenue_per_share</t>
        </is>
      </c>
      <c r="B132" t="inlineStr">
        <is>
          <t>Q1 2025</t>
        </is>
      </c>
      <c r="D132" t="inlineStr">
        <is>
          <t>n/shares_outstanding[Q1 2025]</t>
        </is>
      </c>
      <c r="E132" t="inlineStr"/>
      <c r="F132" t="inlineStr">
        <is>
          <t>shares_outstanding missing for this period</t>
        </is>
      </c>
    </row>
    <row r="133">
      <c r="A133" t="inlineStr">
        <is>
          <t>fcfa2s_per_share</t>
        </is>
      </c>
      <c r="B133" t="inlineStr">
        <is>
          <t>Q1 2025</t>
        </is>
      </c>
      <c r="D133" t="inlineStr">
        <is>
          <t>n/shares_outstanding[Q1 2025]</t>
        </is>
      </c>
      <c r="E133" t="inlineStr"/>
      <c r="F133" t="inlineStr">
        <is>
          <t>shares_outstanding missing for this period</t>
        </is>
      </c>
    </row>
    <row r="134">
      <c r="A134" t="inlineStr">
        <is>
          <t>net_income_per_share</t>
        </is>
      </c>
      <c r="B134" t="inlineStr">
        <is>
          <t>Q1 2025</t>
        </is>
      </c>
      <c r="D134" t="inlineStr">
        <is>
          <t>n/shares_outstanding[Q1 2025]</t>
        </is>
      </c>
      <c r="E134" t="inlineStr"/>
      <c r="F134" t="inlineStr">
        <is>
          <t>shares_outstanding missing for this period</t>
        </is>
      </c>
    </row>
    <row r="135">
      <c r="A135" t="inlineStr">
        <is>
          <t>revenue_per_share</t>
        </is>
      </c>
      <c r="B135" t="inlineStr">
        <is>
          <t>Q2 2025</t>
        </is>
      </c>
      <c r="D135" t="inlineStr">
        <is>
          <t>n/shares_outstanding[Q2 2025]</t>
        </is>
      </c>
      <c r="E135" t="inlineStr"/>
      <c r="F135" t="inlineStr">
        <is>
          <t>shares_outstanding missing for this period</t>
        </is>
      </c>
    </row>
    <row r="136">
      <c r="A136" t="inlineStr">
        <is>
          <t>fcfa2s_per_share</t>
        </is>
      </c>
      <c r="B136" t="inlineStr">
        <is>
          <t>Q2 2025</t>
        </is>
      </c>
      <c r="D136" t="inlineStr">
        <is>
          <t>n/shares_outstanding[Q2 2025]</t>
        </is>
      </c>
      <c r="E136" t="inlineStr"/>
      <c r="F136" t="inlineStr">
        <is>
          <t>shares_outstanding missing for this period</t>
        </is>
      </c>
    </row>
    <row r="137">
      <c r="A137" t="inlineStr">
        <is>
          <t>net_income_per_share</t>
        </is>
      </c>
      <c r="B137" t="inlineStr">
        <is>
          <t>Q2 2025</t>
        </is>
      </c>
      <c r="D137" t="inlineStr">
        <is>
          <t>n/shares_outstanding[Q2 2025]</t>
        </is>
      </c>
      <c r="E137" t="inlineStr"/>
      <c r="F137" t="inlineStr">
        <is>
          <t>shares_outstanding missing for this period</t>
        </is>
      </c>
    </row>
    <row r="138">
      <c r="A138" t="inlineStr">
        <is>
          <t>revenue_per_share</t>
        </is>
      </c>
      <c r="B138" t="inlineStr">
        <is>
          <t>H1 2025</t>
        </is>
      </c>
      <c r="D138" t="inlineStr">
        <is>
          <t>n/shares_outstanding[H1 2025]</t>
        </is>
      </c>
      <c r="E138" t="inlineStr"/>
      <c r="F138" t="inlineStr">
        <is>
          <t>shares_outstanding missing for this period</t>
        </is>
      </c>
    </row>
    <row r="139">
      <c r="A139" t="inlineStr">
        <is>
          <t>fcfa2s_per_share</t>
        </is>
      </c>
      <c r="B139" t="inlineStr">
        <is>
          <t>H1 2025</t>
        </is>
      </c>
      <c r="D139" t="inlineStr">
        <is>
          <t>n/shares_outstanding[H1 2025]</t>
        </is>
      </c>
      <c r="E139" t="inlineStr"/>
      <c r="F139" t="inlineStr">
        <is>
          <t>shares_outstanding missing for this period</t>
        </is>
      </c>
    </row>
    <row r="140">
      <c r="A140" t="inlineStr">
        <is>
          <t>net_income_per_share</t>
        </is>
      </c>
      <c r="B140" t="inlineStr">
        <is>
          <t>H1 2025</t>
        </is>
      </c>
      <c r="D140" t="inlineStr">
        <is>
          <t>n/shares_outstanding[H1 2025]</t>
        </is>
      </c>
      <c r="E140" t="inlineStr"/>
      <c r="F140" t="inlineStr">
        <is>
          <t>shares_outstanding missing for this period</t>
        </is>
      </c>
    </row>
    <row r="141">
      <c r="A141" t="inlineStr">
        <is>
          <t>revenue_per_share</t>
        </is>
      </c>
      <c r="B141" t="inlineStr">
        <is>
          <t>H1 2026</t>
        </is>
      </c>
      <c r="D141" t="inlineStr">
        <is>
          <t>n/shares_outstanding[H1 2026]</t>
        </is>
      </c>
      <c r="E141" t="inlineStr"/>
      <c r="F141" t="inlineStr">
        <is>
          <t>shares_outstanding missing for this period</t>
        </is>
      </c>
    </row>
    <row r="142">
      <c r="A142" t="inlineStr">
        <is>
          <t>fcfa2s_per_share</t>
        </is>
      </c>
      <c r="B142" t="inlineStr">
        <is>
          <t>H1 2026</t>
        </is>
      </c>
      <c r="D142" t="inlineStr">
        <is>
          <t>n/shares_outstanding[H1 2026]</t>
        </is>
      </c>
      <c r="E142" t="inlineStr"/>
      <c r="F142" t="inlineStr">
        <is>
          <t>shares_outstanding missing for this period</t>
        </is>
      </c>
    </row>
    <row r="143">
      <c r="A143" t="inlineStr">
        <is>
          <t>net_income_per_share</t>
        </is>
      </c>
      <c r="B143" t="inlineStr">
        <is>
          <t>H1 2026</t>
        </is>
      </c>
      <c r="D143" t="inlineStr">
        <is>
          <t>n/shares_outstanding[H1 2026]</t>
        </is>
      </c>
      <c r="E143" t="inlineStr"/>
      <c r="F143" t="inlineStr">
        <is>
          <t>shares_outstanding missing for this period</t>
        </is>
      </c>
    </row>
    <row r="144">
      <c r="A144" t="inlineStr">
        <is>
          <t>revenue_per_share</t>
        </is>
      </c>
      <c r="B144" t="inlineStr">
        <is>
          <t>LTM to Q2 2026</t>
        </is>
      </c>
      <c r="D144" t="inlineStr">
        <is>
          <t>n/shares_outstanding[LTM to Q2 2026]</t>
        </is>
      </c>
      <c r="E144" t="inlineStr"/>
      <c r="F144" t="inlineStr">
        <is>
          <t>shares_outstanding missing for this period</t>
        </is>
      </c>
    </row>
    <row r="145">
      <c r="A145" t="inlineStr">
        <is>
          <t>fcfa2s_per_share</t>
        </is>
      </c>
      <c r="B145" t="inlineStr">
        <is>
          <t>LTM to Q2 2026</t>
        </is>
      </c>
      <c r="D145" t="inlineStr">
        <is>
          <t>n/shares_outstanding[LTM to Q2 2026]</t>
        </is>
      </c>
      <c r="E145" t="inlineStr"/>
      <c r="F145" t="inlineStr">
        <is>
          <t>shares_outstanding missing for this period</t>
        </is>
      </c>
    </row>
    <row r="146">
      <c r="A146" t="inlineStr">
        <is>
          <t>net_income_per_share</t>
        </is>
      </c>
      <c r="B146" t="inlineStr">
        <is>
          <t>LTM to Q2 2026</t>
        </is>
      </c>
      <c r="D146" t="inlineStr">
        <is>
          <t>n/shares_outstanding[LTM to Q2 2026]</t>
        </is>
      </c>
      <c r="E146" t="inlineStr"/>
      <c r="F146" t="inlineStr">
        <is>
          <t>shares_outstanding missing for this period</t>
        </is>
      </c>
    </row>
    <row r="147">
      <c r="A147" t="inlineStr">
        <is>
          <t>net_debt</t>
        </is>
      </c>
      <c r="B147" t="inlineStr">
        <is>
          <t>FY2022</t>
        </is>
      </c>
      <c r="C147">
        <f>Ledger!$C$83-Ledger!$C$78</f>
        <v/>
      </c>
      <c r="D147" t="inlineStr">
        <is>
          <t>total_debt[FY2022] - cash[FY2022]</t>
        </is>
      </c>
      <c r="E147" t="inlineStr">
        <is>
          <t>total_debt.FY2022, cash.FY2022</t>
        </is>
      </c>
      <c r="F147" t="inlineStr"/>
    </row>
    <row r="148">
      <c r="A148" t="inlineStr">
        <is>
          <t>net_debt</t>
        </is>
      </c>
      <c r="B148" t="inlineStr">
        <is>
          <t>FY2023</t>
        </is>
      </c>
      <c r="C148">
        <f>Ledger!$C$84-Ledger!$C$79</f>
        <v/>
      </c>
      <c r="D148" t="inlineStr">
        <is>
          <t>total_debt[FY2023] - cash[FY2023]</t>
        </is>
      </c>
      <c r="E148" t="inlineStr">
        <is>
          <t>total_debt.FY2023, cash.FY2023</t>
        </is>
      </c>
      <c r="F148" t="inlineStr"/>
    </row>
    <row r="149">
      <c r="A149" t="inlineStr">
        <is>
          <t>net_debt</t>
        </is>
      </c>
      <c r="B149" t="inlineStr">
        <is>
          <t>FY2024</t>
        </is>
      </c>
      <c r="C149">
        <f>Ledger!$C$85-Ledger!$C$80</f>
        <v/>
      </c>
      <c r="D149" t="inlineStr">
        <is>
          <t>total_debt[FY2024] - cash[FY2024]</t>
        </is>
      </c>
      <c r="E149" t="inlineStr">
        <is>
          <t>total_debt.FY2024, cash.FY2024</t>
        </is>
      </c>
      <c r="F149" t="inlineStr"/>
    </row>
    <row r="150">
      <c r="A150" t="inlineStr">
        <is>
          <t>net_debt</t>
        </is>
      </c>
      <c r="B150" t="inlineStr">
        <is>
          <t>FY2025</t>
        </is>
      </c>
      <c r="D150" t="inlineStr">
        <is>
          <t>total_debt[FY2025] - cash[FY2025]</t>
        </is>
      </c>
      <c r="E150" t="inlineStr"/>
      <c r="F150" t="inlineStr">
        <is>
          <t>total_debt or cash missing</t>
        </is>
      </c>
    </row>
    <row r="151">
      <c r="A151" t="inlineStr">
        <is>
          <t>net_debt</t>
        </is>
      </c>
      <c r="B151" t="inlineStr">
        <is>
          <t>Q1 2025</t>
        </is>
      </c>
      <c r="D151" t="inlineStr">
        <is>
          <t>total_debt[Q1 2025] - cash[Q1 2025]</t>
        </is>
      </c>
      <c r="E151" t="inlineStr"/>
      <c r="F151" t="inlineStr">
        <is>
          <t>total_debt or cash missing</t>
        </is>
      </c>
    </row>
    <row r="152">
      <c r="A152" t="inlineStr">
        <is>
          <t>net_debt</t>
        </is>
      </c>
      <c r="B152" t="inlineStr">
        <is>
          <t>Q1 2026</t>
        </is>
      </c>
      <c r="C152">
        <f>Ledger!$C$86-Ledger!$C$81</f>
        <v/>
      </c>
      <c r="D152" t="inlineStr">
        <is>
          <t>total_debt[Q1 2026] - cash[Q1 2026]</t>
        </is>
      </c>
      <c r="E152" t="inlineStr">
        <is>
          <t>total_debt.Q1 2026, cash.Q1 2026</t>
        </is>
      </c>
      <c r="F152" t="inlineStr"/>
    </row>
    <row r="153">
      <c r="A153" t="inlineStr">
        <is>
          <t>net_debt</t>
        </is>
      </c>
      <c r="B153" t="inlineStr">
        <is>
          <t>Q2 2025</t>
        </is>
      </c>
      <c r="D153" t="inlineStr">
        <is>
          <t>total_debt[Q2 2025] - cash[Q2 2025]</t>
        </is>
      </c>
      <c r="E153" t="inlineStr"/>
      <c r="F153" t="inlineStr">
        <is>
          <t>total_debt or cash missing</t>
        </is>
      </c>
    </row>
    <row r="154">
      <c r="A154" t="inlineStr">
        <is>
          <t>net_debt</t>
        </is>
      </c>
      <c r="B154" t="inlineStr">
        <is>
          <t>Q2 2026</t>
        </is>
      </c>
      <c r="C154">
        <f>Ledger!$C$87-Ledger!$C$82</f>
        <v/>
      </c>
      <c r="D154" t="inlineStr">
        <is>
          <t>total_debt[Q2 2026] - cash[Q2 2026]</t>
        </is>
      </c>
      <c r="E154" t="inlineStr">
        <is>
          <t>total_debt.Q2 2026, cash.Q2 2026</t>
        </is>
      </c>
      <c r="F154" t="inlineStr"/>
    </row>
    <row r="155">
      <c r="A155" t="inlineStr">
        <is>
          <t>net_debt</t>
        </is>
      </c>
      <c r="B155" t="inlineStr">
        <is>
          <t>H1 2025</t>
        </is>
      </c>
      <c r="D155" t="inlineStr">
        <is>
          <t>total_debt[H1 2025] - cash[H1 2025]</t>
        </is>
      </c>
      <c r="E155" t="inlineStr"/>
      <c r="F155" t="inlineStr">
        <is>
          <t>total_debt or cash missing</t>
        </is>
      </c>
    </row>
    <row r="156">
      <c r="A156" t="inlineStr">
        <is>
          <t>net_debt</t>
        </is>
      </c>
      <c r="B156" t="inlineStr">
        <is>
          <t>H1 2026</t>
        </is>
      </c>
      <c r="D156" t="inlineStr">
        <is>
          <t>total_debt[H1 2026] - cash[H1 2026]</t>
        </is>
      </c>
      <c r="E156" t="inlineStr"/>
      <c r="F156" t="inlineStr">
        <is>
          <t>total_debt or cash missing</t>
        </is>
      </c>
    </row>
    <row r="157">
      <c r="A157" t="inlineStr">
        <is>
          <t>net_debt</t>
        </is>
      </c>
      <c r="B157" t="inlineStr">
        <is>
          <t>LTM to Q2 2026</t>
        </is>
      </c>
      <c r="D157" t="inlineStr">
        <is>
          <t>total_debt[LTM to Q2 2026] - cash[LTM to Q2 2026]</t>
        </is>
      </c>
      <c r="E157" t="inlineStr"/>
      <c r="F157" t="inlineStr">
        <is>
          <t>total_debt or cash missing</t>
        </is>
      </c>
    </row>
    <row r="158">
      <c r="A158" t="inlineStr">
        <is>
          <t>net_debt_to_fcfa2s</t>
        </is>
      </c>
      <c r="B158" t="inlineStr">
        <is>
          <t>FY2022</t>
        </is>
      </c>
      <c r="C158" t="n">
        <v>1.363423212192263</v>
      </c>
      <c r="D158" t="inlineStr">
        <is>
          <t>net_debt[FY2022]/fcfa2s[FY2022]</t>
        </is>
      </c>
      <c r="E158" t="inlineStr">
        <is>
          <t>net_debt.FY2022, fcfa2s.FY2022</t>
        </is>
      </c>
      <c r="F158" t="inlineStr"/>
    </row>
    <row r="159">
      <c r="A159" t="inlineStr">
        <is>
          <t>net_debt_to_fcfa2s</t>
        </is>
      </c>
      <c r="B159" t="inlineStr">
        <is>
          <t>FY2023</t>
        </is>
      </c>
      <c r="C159" t="n">
        <v>1.767241379310345</v>
      </c>
      <c r="D159" t="inlineStr">
        <is>
          <t>net_debt[FY2023]/fcfa2s[FY2023]</t>
        </is>
      </c>
      <c r="E159" t="inlineStr">
        <is>
          <t>net_debt.FY2023, fcfa2s.FY2023</t>
        </is>
      </c>
      <c r="F159" t="inlineStr"/>
    </row>
    <row r="160">
      <c r="A160" t="inlineStr">
        <is>
          <t>net_debt_to_fcfa2s</t>
        </is>
      </c>
      <c r="B160" t="inlineStr">
        <is>
          <t>FY2024</t>
        </is>
      </c>
      <c r="C160" t="n">
        <v>1.197690217391304</v>
      </c>
      <c r="D160" t="inlineStr">
        <is>
          <t>net_debt[FY2024]/fcfa2s[FY2024]</t>
        </is>
      </c>
      <c r="E160" t="inlineStr">
        <is>
          <t>net_debt.FY2024, fcfa2s.FY2024</t>
        </is>
      </c>
      <c r="F160" t="inlineStr"/>
    </row>
    <row r="161">
      <c r="A161" t="inlineStr">
        <is>
          <t>net_debt_to_fcfa2s</t>
        </is>
      </c>
      <c r="B161" t="inlineStr">
        <is>
          <t>FY2025</t>
        </is>
      </c>
      <c r="D161" t="inlineStr">
        <is>
          <t>net_debt[FY2025]/fcfa2s[FY2025]</t>
        </is>
      </c>
      <c r="E161" t="inlineStr"/>
      <c r="F161" t="inlineStr">
        <is>
          <t>net_debt or fcfa2s missing</t>
        </is>
      </c>
    </row>
    <row r="162">
      <c r="A162" t="inlineStr">
        <is>
          <t>net_debt_to_fcfa2s</t>
        </is>
      </c>
      <c r="B162" t="inlineStr">
        <is>
          <t>Q1 2025</t>
        </is>
      </c>
      <c r="D162" t="inlineStr">
        <is>
          <t>net_debt[Q1 2025]/fcfa2s[Q1 2025]</t>
        </is>
      </c>
      <c r="E162" t="inlineStr"/>
      <c r="F162" t="inlineStr">
        <is>
          <t>net_debt or fcfa2s missing</t>
        </is>
      </c>
    </row>
    <row r="163">
      <c r="A163" t="inlineStr">
        <is>
          <t>net_debt_to_fcfa2s</t>
        </is>
      </c>
      <c r="B163" t="inlineStr">
        <is>
          <t>Q1 2026</t>
        </is>
      </c>
      <c r="C163" t="n">
        <v>1.336971350613915</v>
      </c>
      <c r="D163" t="inlineStr">
        <is>
          <t>net_debt[Q1 2026]/fcfa2s[Q1 2026]</t>
        </is>
      </c>
      <c r="E163" t="inlineStr">
        <is>
          <t>net_debt.Q1 2026, fcfa2s.Q1 2026</t>
        </is>
      </c>
      <c r="F163" t="inlineStr"/>
    </row>
    <row r="164">
      <c r="A164" t="inlineStr">
        <is>
          <t>net_debt_to_fcfa2s</t>
        </is>
      </c>
      <c r="B164" t="inlineStr">
        <is>
          <t>Q2 2025</t>
        </is>
      </c>
      <c r="D164" t="inlineStr">
        <is>
          <t>net_debt[Q2 2025]/fcfa2s[Q2 2025]</t>
        </is>
      </c>
      <c r="E164" t="inlineStr"/>
      <c r="F164" t="inlineStr">
        <is>
          <t>net_debt or fcfa2s missing</t>
        </is>
      </c>
    </row>
    <row r="165">
      <c r="A165" t="inlineStr">
        <is>
          <t>net_debt_to_fcfa2s</t>
        </is>
      </c>
      <c r="B165" t="inlineStr">
        <is>
          <t>Q2 2026</t>
        </is>
      </c>
      <c r="C165" t="n">
        <v>6.376811594202898</v>
      </c>
      <c r="D165" t="inlineStr">
        <is>
          <t>net_debt[Q2 2026]/fcfa2s[Q2 2026]</t>
        </is>
      </c>
      <c r="E165" t="inlineStr">
        <is>
          <t>net_debt.Q2 2026, fcfa2s.Q2 2026</t>
        </is>
      </c>
      <c r="F165" t="inlineStr"/>
    </row>
    <row r="166">
      <c r="A166" t="inlineStr">
        <is>
          <t>net_debt_to_fcfa2s</t>
        </is>
      </c>
      <c r="B166" t="inlineStr">
        <is>
          <t>H1 2025</t>
        </is>
      </c>
      <c r="D166" t="inlineStr">
        <is>
          <t>net_debt[H1 2025]/fcfa2s[H1 2025]</t>
        </is>
      </c>
      <c r="E166" t="inlineStr"/>
      <c r="F166" t="inlineStr">
        <is>
          <t>net_debt or fcfa2s missing</t>
        </is>
      </c>
    </row>
    <row r="167">
      <c r="A167" t="inlineStr">
        <is>
          <t>net_debt_to_fcfa2s</t>
        </is>
      </c>
      <c r="B167" t="inlineStr">
        <is>
          <t>H1 2026</t>
        </is>
      </c>
      <c r="D167" t="inlineStr">
        <is>
          <t>net_debt[H1 2026]/fcfa2s[H1 2026]</t>
        </is>
      </c>
      <c r="E167" t="inlineStr"/>
      <c r="F167" t="inlineStr">
        <is>
          <t>net_debt or fcfa2s missing</t>
        </is>
      </c>
    </row>
    <row r="168">
      <c r="A168" t="inlineStr">
        <is>
          <t>net_debt_to_fcfa2s</t>
        </is>
      </c>
      <c r="B168" t="inlineStr">
        <is>
          <t>LTM to Q2 2026</t>
        </is>
      </c>
      <c r="D168" t="inlineStr">
        <is>
          <t>net_debt[LTM to Q2 2026]/fcfa2s[LTM to Q2 2026]</t>
        </is>
      </c>
      <c r="E168" t="inlineStr"/>
      <c r="F168" t="inlineStr">
        <is>
          <t>net_debt or fcfa2s missing</t>
        </is>
      </c>
    </row>
    <row r="169">
      <c r="A169" t="inlineStr">
        <is>
          <t>dividend_payout_of_fcfa2s</t>
        </is>
      </c>
      <c r="B169" t="inlineStr">
        <is>
          <t>FY2022</t>
        </is>
      </c>
      <c r="D169" t="inlineStr">
        <is>
          <t>(dividends_per_share[FY2022] * shares_outstanding[FY2022]) / fcfa2s[FY2022]</t>
        </is>
      </c>
      <c r="E169" t="inlineStr"/>
      <c r="F169" t="inlineStr">
        <is>
          <t>dividends_per_share, shares_outstanding, or fcfa2s missing</t>
        </is>
      </c>
    </row>
    <row r="170">
      <c r="A170" t="inlineStr">
        <is>
          <t>dividend_payout_of_fcfa2s</t>
        </is>
      </c>
      <c r="B170" t="inlineStr">
        <is>
          <t>FY2023</t>
        </is>
      </c>
      <c r="C170" t="n">
        <v>0.07306896551724139</v>
      </c>
      <c r="D170" t="inlineStr">
        <is>
          <t>(dividends_per_share[FY2023] * shares_outstanding[FY2023]) / fcfa2s[FY2023]</t>
        </is>
      </c>
      <c r="E170" t="inlineStr">
        <is>
          <t>dividends_per_share.FY2023, shares_outstanding.FY2023, fcfa2s.FY2023</t>
        </is>
      </c>
      <c r="F170" t="inlineStr"/>
    </row>
    <row r="171">
      <c r="A171" t="inlineStr">
        <is>
          <t>dividend_payout_of_fcfa2s</t>
        </is>
      </c>
      <c r="B171" t="inlineStr">
        <is>
          <t>FY2024</t>
        </is>
      </c>
      <c r="C171" t="n">
        <v>0.05758152173913044</v>
      </c>
      <c r="D171" t="inlineStr">
        <is>
          <t>(dividends_per_share[FY2024] * shares_outstanding[FY2024]) / fcfa2s[FY2024]</t>
        </is>
      </c>
      <c r="E171" t="inlineStr">
        <is>
          <t>dividends_per_share.FY2024, shares_outstanding.FY2024, fcfa2s.FY2024</t>
        </is>
      </c>
      <c r="F171" t="inlineStr"/>
    </row>
    <row r="172">
      <c r="A172" t="inlineStr">
        <is>
          <t>dividend_payout_of_fcfa2s</t>
        </is>
      </c>
      <c r="B172" t="inlineStr">
        <is>
          <t>FY2025</t>
        </is>
      </c>
      <c r="C172" t="n">
        <v>0.05036244800950684</v>
      </c>
      <c r="D172" t="inlineStr">
        <is>
          <t>(dividends_per_share[FY2025] * shares_outstanding[FY2025]) / fcfa2s[FY2025]</t>
        </is>
      </c>
      <c r="E172" t="inlineStr">
        <is>
          <t>dividends_per_share.FY2025, shares_outstanding.FY2025, fcfa2s.FY2025</t>
        </is>
      </c>
      <c r="F172" t="inlineStr"/>
    </row>
    <row r="173">
      <c r="A173" t="inlineStr">
        <is>
          <t>dividend_payout_of_fcfa2s</t>
        </is>
      </c>
      <c r="B173" t="inlineStr">
        <is>
          <t>Q1 2025</t>
        </is>
      </c>
      <c r="D173" t="inlineStr">
        <is>
          <t>(dividends_per_share[Q1 2025] * shares_outstanding[Q1 2025]) / fcfa2s[Q1 2025]</t>
        </is>
      </c>
      <c r="E173" t="inlineStr"/>
      <c r="F173" t="inlineStr">
        <is>
          <t>dividends_per_share, shares_outstanding, or fcfa2s missing</t>
        </is>
      </c>
    </row>
    <row r="174">
      <c r="A174" t="inlineStr">
        <is>
          <t>dividend_payout_of_fcfa2s</t>
        </is>
      </c>
      <c r="B174" t="inlineStr">
        <is>
          <t>Q1 2026</t>
        </is>
      </c>
      <c r="C174" t="n">
        <v>0.02890859481582538</v>
      </c>
      <c r="D174" t="inlineStr">
        <is>
          <t>(dividends_per_share[Q1 2026] * shares_outstanding[Q1 2026]) / fcfa2s[Q1 2026]</t>
        </is>
      </c>
      <c r="E174" t="inlineStr">
        <is>
          <t>dividends_per_share.Q1 2026, shares_outstanding.Q1 2026, fcfa2s.Q1 2026</t>
        </is>
      </c>
      <c r="F174" t="inlineStr"/>
    </row>
    <row r="175">
      <c r="A175" t="inlineStr">
        <is>
          <t>dividend_payout_of_fcfa2s</t>
        </is>
      </c>
      <c r="B175" t="inlineStr">
        <is>
          <t>Q2 2025</t>
        </is>
      </c>
      <c r="D175" t="inlineStr">
        <is>
          <t>(dividends_per_share[Q2 2025] * shares_outstanding[Q2 2025]) / fcfa2s[Q2 2025]</t>
        </is>
      </c>
      <c r="E175" t="inlineStr"/>
      <c r="F175" t="inlineStr">
        <is>
          <t>dividends_per_share, shares_outstanding, or fcfa2s missing</t>
        </is>
      </c>
    </row>
    <row r="176">
      <c r="A176" t="inlineStr">
        <is>
          <t>dividend_payout_of_fcfa2s</t>
        </is>
      </c>
      <c r="B176" t="inlineStr">
        <is>
          <t>Q2 2026</t>
        </is>
      </c>
      <c r="C176" t="n">
        <v>0.06142028985507247</v>
      </c>
      <c r="D176" t="inlineStr">
        <is>
          <t>(dividends_per_share[Q2 2026] * shares_outstanding[Q2 2026]) / fcfa2s[Q2 2026]</t>
        </is>
      </c>
      <c r="E176" t="inlineStr">
        <is>
          <t>dividends_per_share.Q2 2026, shares_outstanding.Q2 2026, fcfa2s.Q2 2026</t>
        </is>
      </c>
      <c r="F176" t="inlineStr"/>
    </row>
    <row r="177">
      <c r="A177" t="inlineStr">
        <is>
          <t>dividend_payout_of_fcfa2s</t>
        </is>
      </c>
      <c r="B177" t="inlineStr">
        <is>
          <t>H1 2025</t>
        </is>
      </c>
      <c r="D177" t="inlineStr">
        <is>
          <t>(dividends_per_share[H1 2025] * shares_outstanding[H1 2025]) / fcfa2s[H1 2025]</t>
        </is>
      </c>
      <c r="E177" t="inlineStr"/>
      <c r="F177" t="inlineStr">
        <is>
          <t>dividends_per_share, shares_outstanding, or fcfa2s missing</t>
        </is>
      </c>
    </row>
    <row r="178">
      <c r="A178" t="inlineStr">
        <is>
          <t>dividend_payout_of_fcfa2s</t>
        </is>
      </c>
      <c r="B178" t="inlineStr">
        <is>
          <t>H1 2026</t>
        </is>
      </c>
      <c r="D178" t="inlineStr">
        <is>
          <t>(dividends_per_share[H1 2026] * shares_outstanding[H1 2026]) / fcfa2s[H1 2026]</t>
        </is>
      </c>
      <c r="E178" t="inlineStr"/>
      <c r="F178" t="inlineStr">
        <is>
          <t>dividends_per_share, shares_outstanding, or fcfa2s missing</t>
        </is>
      </c>
    </row>
    <row r="179">
      <c r="A179" t="inlineStr">
        <is>
          <t>dividend_payout_of_fcfa2s</t>
        </is>
      </c>
      <c r="B179" t="inlineStr">
        <is>
          <t>LTM to Q2 2026</t>
        </is>
      </c>
      <c r="D179" t="inlineStr">
        <is>
          <t>(dividends_per_share[LTM to Q2 2026] * shares_outstanding[LTM to Q2 2026]) / fcfa2s[LTM to Q2 2026]</t>
        </is>
      </c>
      <c r="E179" t="inlineStr"/>
      <c r="F179" t="inlineStr">
        <is>
          <t>dividends_per_share, shares_outstanding, or fcfa2s missing</t>
        </is>
      </c>
    </row>
    <row r="180">
      <c r="A180" t="inlineStr">
        <is>
          <t>revenue_cagr_3yr</t>
        </is>
      </c>
      <c r="B180" t="inlineStr">
        <is>
          <t>FY2022-FY2025</t>
        </is>
      </c>
      <c r="C180" t="n">
        <v>0.2062658154578558</v>
      </c>
      <c r="D180" t="inlineStr">
        <is>
          <t>(revenue[FY2025]/revenue[FY2022])^(1/3) - 1</t>
        </is>
      </c>
      <c r="E180" t="inlineStr">
        <is>
          <t>revenue.FY2025, revenue.FY2022</t>
        </is>
      </c>
      <c r="F180" t="inlineStr"/>
    </row>
    <row r="181">
      <c r="A181" t="inlineStr">
        <is>
          <t>revenue_cagr_5yr</t>
        </is>
      </c>
      <c r="B181" t="inlineStr">
        <is>
          <t>FY2020-FY2025</t>
        </is>
      </c>
      <c r="D181" t="inlineStr">
        <is>
          <t>(revenue[FY2025]/revenue[FY2020])^(1/5) - 1</t>
        </is>
      </c>
      <c r="E181" t="inlineStr"/>
      <c r="F181" t="inlineStr">
        <is>
          <t>no FY2020 (or earlier) data in ledger; only FY2022 onward available, so 5yr CAGR cannot be computed</t>
        </is>
      </c>
    </row>
    <row r="182">
      <c r="A182" t="inlineStr">
        <is>
          <t>fcfa2s_cagr_3yr</t>
        </is>
      </c>
      <c r="B182" t="inlineStr">
        <is>
          <t>FY2022-FY2025</t>
        </is>
      </c>
      <c r="C182" t="n">
        <v>0.2542333995059118</v>
      </c>
      <c r="D182" t="inlineStr">
        <is>
          <t>(fcfa2s[FY2025]/fcfa2s[FY2022])^(1/3) - 1</t>
        </is>
      </c>
      <c r="E182" t="inlineStr">
        <is>
          <t>fcfa2s.FY2025, fcfa2s.FY2022</t>
        </is>
      </c>
      <c r="F182" t="inlineStr"/>
    </row>
    <row r="183">
      <c r="A183" t="inlineStr">
        <is>
          <t>fcfa2s_cagr_5yr</t>
        </is>
      </c>
      <c r="B183" t="inlineStr">
        <is>
          <t>FY2020-FY2025</t>
        </is>
      </c>
      <c r="D183" t="inlineStr">
        <is>
          <t>(fcfa2s[FY2025]/fcfa2s[FY2020])^(1/5) - 1</t>
        </is>
      </c>
      <c r="E183" t="inlineStr"/>
      <c r="F183" t="inlineStr">
        <is>
          <t>no FY2020 (or earlier) data in ledger; only FY2022 onward available, so 5yr CAGR cannot be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60" customWidth="1" min="3" max="3"/>
    <col width="70" customWidth="1" min="4" max="4"/>
  </cols>
  <sheetData>
    <row r="1">
      <c r="A1" t="inlineStr">
        <is>
          <t>item</t>
        </is>
      </c>
      <c r="B1" t="inlineStr">
        <is>
          <t>value</t>
        </is>
      </c>
      <c r="C1" t="inlineStr">
        <is>
          <t>formula</t>
        </is>
      </c>
      <c r="D1" t="inlineStr">
        <is>
          <t>note</t>
        </is>
      </c>
    </row>
    <row r="2">
      <c r="A2" t="inlineStr">
        <is>
          <t>market_cap_usd</t>
        </is>
      </c>
      <c r="B2" t="n">
        <v>47950</v>
      </c>
      <c r="C2" t="inlineStr">
        <is>
          <t>market_cap_usd[2026-09] taken directly from ledger</t>
        </is>
      </c>
      <c r="D2" t="inlineStr">
        <is>
          <t>usdcad is not present anywhere in ledger, so no independent CAD-&gt;USD conversion of share_price_cad*shares_outstanding was possible; the ledger's own USD market cap figure is used as-is. Ledger flags a conflicting CAD 65,183mm figure from another source, not cross-checked here.</t>
        </is>
      </c>
    </row>
    <row r="3">
      <c r="A3" t="inlineStr">
        <is>
          <t>implied_share_price_usd</t>
        </is>
      </c>
      <c r="B3" t="n">
        <v>2262.859839546956</v>
      </c>
      <c r="C3" t="inlineStr">
        <is>
          <t>market_cap_usd[2026-09] / shares_outstanding[Q2 2026]</t>
        </is>
      </c>
      <c r="D3" t="inlineStr">
        <is>
          <t>Derived because no share_price_usd or usdcad exists in ledger to convert share_price_cad directly.</t>
        </is>
      </c>
    </row>
    <row r="4">
      <c r="A4" t="inlineStr">
        <is>
          <t>pe_trailing</t>
        </is>
      </c>
      <c r="B4" t="n">
        <v>93.65234375</v>
      </c>
      <c r="C4" t="inlineStr">
        <is>
          <t>market_cap_usd[2026-09] / net_income_attributable[FY2025]</t>
        </is>
      </c>
      <c r="D4" t="inlineStr">
        <is>
          <t>Uses FY2025 net income (most recent full fiscal year) as trailing NI; no LTM net income figure exists in ledger.</t>
        </is>
      </c>
    </row>
    <row r="5">
      <c r="A5" t="inlineStr">
        <is>
          <t>price_to_fcfa2s_per_share</t>
        </is>
      </c>
      <c r="B5" t="n">
        <v>23.62068965517241</v>
      </c>
      <c r="C5" t="inlineStr">
        <is>
          <t>implied_share_price_usd / (fcfa2s[LTM to Q2 2026]/shares_outstanding[Q2 2026])</t>
        </is>
      </c>
      <c r="D5" t="inlineStr"/>
    </row>
    <row r="6">
      <c r="A6" t="inlineStr">
        <is>
          <t>ev_to_adjusted_ebita</t>
        </is>
      </c>
      <c r="C6" t="inlineStr">
        <is>
          <t>enterprise_value_usd / adjusted_ebita</t>
        </is>
      </c>
      <c r="D6" t="inlineStr">
        <is>
          <t>adjusted_ebita not present anywhere in ledger</t>
        </is>
      </c>
    </row>
    <row r="7">
      <c r="A7" t="inlineStr">
        <is>
          <t>ev_to_revenue</t>
        </is>
      </c>
      <c r="C7" t="inlineStr">
        <is>
          <t>enterprise_value_usd / revenue[FY2025]</t>
        </is>
      </c>
      <c r="D7" t="inlineStr">
        <is>
          <t>enterprise_value_usd ledger entry (46000, period 2026-05) is explicitly noted as CAD-denominated despite the key name, and usdcad is not present in ledger, so it cannot be reliably converted to match USD-denominated revenue; left null rather than mixing currencies.</t>
        </is>
      </c>
    </row>
    <row r="8">
      <c r="A8" t="inlineStr">
        <is>
          <t>fcfa2s_yield</t>
        </is>
      </c>
      <c r="B8" t="n">
        <v>0.04233576642335767</v>
      </c>
      <c r="C8" t="inlineStr">
        <is>
          <t>(fcfa2s[LTM to Q2 2026]/shares_outstanding[Q2 2026]) / implied_share_price_usd</t>
        </is>
      </c>
      <c r="D8" t="inlineStr"/>
    </row>
    <row r="9">
      <c r="A9" t="inlineStr">
        <is>
          <t>dividend_yield</t>
        </is>
      </c>
      <c r="B9" t="n">
        <v>0.001767674661105318</v>
      </c>
      <c r="C9" t="inlineStr">
        <is>
          <t>dividends_per_share[FY2025] / implied_share_price_usd</t>
        </is>
      </c>
      <c r="D9" t="inlineStr">
        <is>
          <t>Uses FY2025 annual dividend per share as trailing-12m proxy (quarterly Q1/Q2 2026 figures of 1.0 each annualize to the same 4.0 run-rate).</t>
        </is>
      </c>
    </row>
    <row r="10">
      <c r="A10" t="inlineStr">
        <is>
          <t>price_date</t>
        </is>
      </c>
      <c r="B10" t="inlineStr">
        <is>
          <t>2026-09-11</t>
        </is>
      </c>
      <c r="C10" t="inlineStr">
        <is>
          <t>price_date[current] from ledger</t>
        </is>
      </c>
      <c r="D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4" customWidth="1" min="3" max="3"/>
    <col width="30" customWidth="1" min="4" max="4"/>
    <col width="60" customWidth="1" min="5" max="5"/>
  </cols>
  <sheetData>
    <row r="1">
      <c r="A1" t="inlineStr">
        <is>
          <t>peer</t>
        </is>
      </c>
      <c r="B1" t="inlineStr">
        <is>
          <t>metric</t>
        </is>
      </c>
      <c r="C1" t="inlineStr">
        <is>
          <t>value</t>
        </is>
      </c>
      <c r="D1" t="inlineStr">
        <is>
          <t>unit/formula</t>
        </is>
      </c>
      <c r="E1" t="inlineStr">
        <is>
          <t>source_url</t>
        </is>
      </c>
    </row>
    <row r="2">
      <c r="A2" t="inlineStr">
        <is>
          <t>Topicus.com (TOI)</t>
        </is>
      </c>
      <c r="B2" t="inlineStr">
        <is>
          <t>H1 2026 revenue</t>
        </is>
      </c>
      <c r="C2" t="n">
        <v>872.9</v>
      </c>
      <c r="D2" t="inlineStr">
        <is>
          <t>EUR millions</t>
        </is>
      </c>
      <c r="E2" t="inlineStr">
        <is>
          <t>https://www.globenewswire.com/news-release/2026/08/05/3339823/0/en/constellation-software-inc-and-topicus-com-inc-announce-results-for-topicus-com-inc-for-the-second-quarter-ended-june-30-2026.html</t>
        </is>
      </c>
    </row>
    <row r="3">
      <c r="A3" t="inlineStr">
        <is>
          <t>Topicus.com (TOI)</t>
        </is>
      </c>
      <c r="B3" t="inlineStr">
        <is>
          <t>H1 2026 revenue growth yoy</t>
        </is>
      </c>
      <c r="C3" t="n">
        <v>20</v>
      </c>
      <c r="D3" t="inlineStr">
        <is>
          <t>percent</t>
        </is>
      </c>
      <c r="E3" t="inlineStr">
        <is>
          <t>https://www.globenewswire.com/news-release/2026/08/05/3339823/0/en/constellation-software-inc-and-topicus-com-inc-announce-results-for-topicus-com-inc-for-the-second-quarter-ended-june-30-2026.html</t>
        </is>
      </c>
    </row>
    <row r="4">
      <c r="A4" t="inlineStr">
        <is>
          <t>Topicus.com (TOI)</t>
        </is>
      </c>
      <c r="B4" t="inlineStr">
        <is>
          <t>H1 2026 organic growth</t>
        </is>
      </c>
      <c r="C4" t="n">
        <v>5</v>
      </c>
      <c r="D4" t="inlineStr">
        <is>
          <t>percent</t>
        </is>
      </c>
      <c r="E4" t="inlineStr">
        <is>
          <t>https://www.globenewswire.com/news-release/2026/08/05/3339823/0/en/constellation-software-inc-and-topicus-com-inc-announce-results-for-topicus-com-inc-for-the-second-quarter-ended-june-30-2026.html</t>
        </is>
      </c>
    </row>
    <row r="5">
      <c r="A5" t="inlineStr">
        <is>
          <t>Topicus.com (TOI)</t>
        </is>
      </c>
      <c r="B5" t="inlineStr">
        <is>
          <t>Q2 2026 revenue</t>
        </is>
      </c>
      <c r="C5" t="n">
        <v>437.3</v>
      </c>
      <c r="D5" t="inlineStr">
        <is>
          <t>EUR millions</t>
        </is>
      </c>
      <c r="E5" t="inlineStr">
        <is>
          <t>https://www.globenewswire.com/news-release/2026/08/05/3339823/0/en/constellation-software-inc-and-topicus-com-inc-announce-results-for-topicus-com-inc-for-the-second-quarter-ended-june-30-2026.html</t>
        </is>
      </c>
    </row>
    <row r="6">
      <c r="A6" t="inlineStr">
        <is>
          <t>Topicus.com (TOI)</t>
        </is>
      </c>
      <c r="B6" t="inlineStr">
        <is>
          <t>Q1 2026 revenue</t>
        </is>
      </c>
      <c r="C6" t="n">
        <v>435.7</v>
      </c>
      <c r="D6" t="inlineStr">
        <is>
          <t>EUR millions</t>
        </is>
      </c>
      <c r="E6" t="inlineStr">
        <is>
          <t>https://www.globenewswire.com/news-release/2026/08/05/3339823/0/en/constellation-software-inc-and-topicus-com-inc-announce-results-for-topicus-com-inc-for-the-second-quarter-ended-june-30-2026.html</t>
        </is>
      </c>
    </row>
    <row r="7">
      <c r="A7" t="inlineStr">
        <is>
          <t>Topicus.com (TOI)</t>
        </is>
      </c>
      <c r="B7" t="inlineStr">
        <is>
          <t>share_price</t>
        </is>
      </c>
      <c r="C7" t="n">
        <v>100.5</v>
      </c>
      <c r="D7" t="inlineStr">
        <is>
          <t>CAD</t>
        </is>
      </c>
      <c r="E7" t="inlineStr">
        <is>
          <t>https://www.investing.com/equities/topicus.com</t>
        </is>
      </c>
    </row>
    <row r="8">
      <c r="A8" t="inlineStr">
        <is>
          <t>Topicus.com (TOI)</t>
        </is>
      </c>
      <c r="B8" t="inlineStr">
        <is>
          <t>market_cap</t>
        </is>
      </c>
      <c r="C8" t="n">
        <v>8390</v>
      </c>
      <c r="D8" t="inlineStr">
        <is>
          <t>CAD millions</t>
        </is>
      </c>
      <c r="E8" t="inlineStr">
        <is>
          <t>https://www.gurufocus.com/term/mktcap/TSXV:TOI</t>
        </is>
      </c>
    </row>
    <row r="9">
      <c r="A9" t="inlineStr">
        <is>
          <t>Lumine Group (LMN)</t>
        </is>
      </c>
      <c r="B9" t="inlineStr">
        <is>
          <t>H1 2026 revenue</t>
        </is>
      </c>
      <c r="C9" t="n">
        <v>443.4</v>
      </c>
      <c r="D9" t="inlineStr">
        <is>
          <t>USD millions</t>
        </is>
      </c>
      <c r="E9" t="inlineStr">
        <is>
          <t>https://www.globenewswire.com/news-release/2026/08/04/3338792/0/en/Lumine-Group-Inc-Announces-Results-for-the-Second-Quarter-Ended-June-30-2026.html</t>
        </is>
      </c>
    </row>
    <row r="10">
      <c r="A10" t="inlineStr">
        <is>
          <t>Lumine Group (LMN)</t>
        </is>
      </c>
      <c r="B10" t="inlineStr">
        <is>
          <t>H1 2026 revenue growth yoy</t>
        </is>
      </c>
      <c r="C10" t="n">
        <v>22</v>
      </c>
      <c r="D10" t="inlineStr">
        <is>
          <t>percent</t>
        </is>
      </c>
      <c r="E10" t="inlineStr">
        <is>
          <t>https://www.globenewswire.com/news-release/2026/08/04/3338792/0/en/Lumine-Group-Inc-Announces-Results-for-the-Second-Quarter-Ended-June-30-2026.html</t>
        </is>
      </c>
    </row>
    <row r="11">
      <c r="A11" t="inlineStr">
        <is>
          <t>Lumine Group (LMN)</t>
        </is>
      </c>
      <c r="B11" t="inlineStr">
        <is>
          <t>Q1 2026 revenue</t>
        </is>
      </c>
      <c r="C11" t="n">
        <v>208.3</v>
      </c>
      <c r="D11" t="inlineStr">
        <is>
          <t>USD millions</t>
        </is>
      </c>
      <c r="E11" t="inlineStr">
        <is>
          <t>https://finance.yahoo.com/markets/stocks/articles/lumine-group-inc-announces-results-200100205.html</t>
        </is>
      </c>
    </row>
    <row r="12">
      <c r="A12" t="inlineStr">
        <is>
          <t>Lumine Group (LMN)</t>
        </is>
      </c>
      <c r="B12" t="inlineStr">
        <is>
          <t>Q1 2026 organic growth</t>
        </is>
      </c>
      <c r="C12" t="n">
        <v>0</v>
      </c>
      <c r="D12" t="inlineStr">
        <is>
          <t>percent</t>
        </is>
      </c>
      <c r="E12" t="inlineStr">
        <is>
          <t>https://finance.yahoo.com/markets/stocks/articles/lumine-group-inc-announces-results-200100205.html</t>
        </is>
      </c>
    </row>
    <row r="13">
      <c r="A13" t="inlineStr">
        <is>
          <t>Lumine Group (LMN)</t>
        </is>
      </c>
      <c r="B13" t="inlineStr">
        <is>
          <t>Q1 2026 organic growth fx-adj</t>
        </is>
      </c>
      <c r="C13" t="n">
        <v>-2</v>
      </c>
      <c r="D13" t="inlineStr">
        <is>
          <t>percent</t>
        </is>
      </c>
      <c r="E13" t="inlineStr">
        <is>
          <t>https://finance.yahoo.com/markets/stocks/articles/lumine-group-inc-announces-results-200100205.html</t>
        </is>
      </c>
    </row>
    <row r="14">
      <c r="A14" t="inlineStr">
        <is>
          <t>Lumine Group (LMN)</t>
        </is>
      </c>
      <c r="B14" t="inlineStr">
        <is>
          <t>Q2 2026 revenue</t>
        </is>
      </c>
      <c r="C14" t="n">
        <v>235.1</v>
      </c>
      <c r="D14" t="inlineStr">
        <is>
          <t>USD millions</t>
        </is>
      </c>
      <c r="E14" t="inlineStr">
        <is>
          <t>https://www.globenewswire.com/news-release/2026/08/04/3338792/0/en/Lumine-Group-Inc-Announces-Results-for-the-Second-Quarter-Ended-June-30-2026.html</t>
        </is>
      </c>
    </row>
    <row r="15">
      <c r="A15" t="inlineStr">
        <is>
          <t>Lumine Group (LMN)</t>
        </is>
      </c>
      <c r="B15" t="inlineStr">
        <is>
          <t>Q2 2026 operating income</t>
        </is>
      </c>
      <c r="C15" t="n">
        <v>75.3</v>
      </c>
      <c r="D15" t="inlineStr">
        <is>
          <t>USD millions</t>
        </is>
      </c>
      <c r="E15" t="inlineStr">
        <is>
          <t>https://www.globenewswire.com/news-release/2026/08/04/3338792/0/en/Lumine-Group-Inc-Announces-Results-for-the-Second-Quarter-Ended-June-30-2026.html</t>
        </is>
      </c>
    </row>
    <row r="16">
      <c r="A16" t="inlineStr">
        <is>
          <t>Descartes Systems (DSG)</t>
        </is>
      </c>
      <c r="B16" t="inlineStr">
        <is>
          <t>FY2026 revenue</t>
        </is>
      </c>
      <c r="C16" t="n">
        <v>729</v>
      </c>
      <c r="D16" t="inlineStr">
        <is>
          <t>USD millions</t>
        </is>
      </c>
      <c r="E16" t="inlineStr">
        <is>
          <t>https://www.theglobeandmail.com/investing/markets/stocks/DSGX-Q/pressreleases/726305/descartes-systems-group-posts-record-fiscal-2026-revenue-and-earnings-amid-logistics-turbulence/</t>
        </is>
      </c>
    </row>
    <row r="17">
      <c r="A17" t="inlineStr">
        <is>
          <t>Descartes Systems (DSG)</t>
        </is>
      </c>
      <c r="B17" t="inlineStr">
        <is>
          <t>FY2026 revenue growth yoy</t>
        </is>
      </c>
      <c r="C17" t="n">
        <v>12</v>
      </c>
      <c r="D17" t="inlineStr">
        <is>
          <t>percent</t>
        </is>
      </c>
      <c r="E17" t="inlineStr">
        <is>
          <t>https://www.theglobeandmail.com/investing/markets/stocks/DSGX-Q/pressreleases/726305/descartes-systems-group-posts-record-fiscal-2026-revenue-and-earnings-amid-logistics-turbulence/</t>
        </is>
      </c>
    </row>
    <row r="18">
      <c r="A18" t="inlineStr">
        <is>
          <t>Descartes Systems (DSG)</t>
        </is>
      </c>
      <c r="B18" t="inlineStr">
        <is>
          <t>FY2026 adjusted ebitda</t>
        </is>
      </c>
      <c r="C18" t="n">
        <v>329.5</v>
      </c>
      <c r="D18" t="inlineStr">
        <is>
          <t>USD millions</t>
        </is>
      </c>
      <c r="E18" t="inlineStr">
        <is>
          <t>https://www.theglobeandmail.com/investing/markets/stocks/DSGX-Q/pressreleases/726305/descartes-systems-group-posts-record-fiscal-2026-revenue-and-earnings-amid-logistics-turbulence/</t>
        </is>
      </c>
    </row>
    <row r="19">
      <c r="A19" t="inlineStr">
        <is>
          <t>Descartes Systems (DSG)</t>
        </is>
      </c>
      <c r="B19" t="inlineStr">
        <is>
          <t>FY2026 net income</t>
        </is>
      </c>
      <c r="C19" t="n">
        <v>163.8</v>
      </c>
      <c r="D19" t="inlineStr">
        <is>
          <t>USD millions</t>
        </is>
      </c>
      <c r="E19" t="inlineStr">
        <is>
          <t>https://www.theglobeandmail.com/investing/markets/stocks/DSGX-Q/pressreleases/726305/descartes-systems-group-posts-record-fiscal-2026-revenue-and-earnings-amid-logistics-turbulence/</t>
        </is>
      </c>
    </row>
    <row r="20">
      <c r="A20" t="inlineStr">
        <is>
          <t>Descartes Systems (DSG)</t>
        </is>
      </c>
      <c r="B20" t="inlineStr">
        <is>
          <t>FY2026 cash</t>
        </is>
      </c>
      <c r="C20" t="n">
        <v>356.5</v>
      </c>
      <c r="D20" t="inlineStr">
        <is>
          <t>USD millions</t>
        </is>
      </c>
      <c r="E20" t="inlineStr">
        <is>
          <t>https://www.theglobeandmail.com/investing/markets/stocks/DSGX-Q/pressreleases/726305/descartes-systems-group-posts-record-fiscal-2026-revenue-and-earnings-amid-logistics-turbulence/</t>
        </is>
      </c>
    </row>
    <row r="21">
      <c r="A21" t="inlineStr">
        <is>
          <t>Descartes Systems (DSG)</t>
        </is>
      </c>
      <c r="B21" t="inlineStr">
        <is>
          <t>FY2026 net_margin</t>
        </is>
      </c>
      <c r="C21" t="n">
        <v>0.2246913580246914</v>
      </c>
      <c r="D21" t="inlineStr">
        <is>
          <t>FY2026 net income/FY2026 revenue</t>
        </is>
      </c>
      <c r="E21" t="inlineStr"/>
    </row>
    <row r="22">
      <c r="A22" t="inlineStr">
        <is>
          <t>Descartes Systems (DSG)</t>
        </is>
      </c>
      <c r="B22" t="inlineStr">
        <is>
          <t>FY2026 adjusted_ebitda_margin</t>
        </is>
      </c>
      <c r="C22" t="n">
        <v>0.4519890260631002</v>
      </c>
      <c r="D22" t="inlineStr">
        <is>
          <t>FY2026 adjusted ebitda/FY2026 revenue</t>
        </is>
      </c>
      <c r="E22" t="inlineStr"/>
    </row>
    <row r="23">
      <c r="A23" t="inlineStr">
        <is>
          <t>Enghouse Systems (ENGH)</t>
        </is>
      </c>
      <c r="B23" t="inlineStr">
        <is>
          <t>H1 2026 revenue</t>
        </is>
      </c>
      <c r="C23" t="n">
        <v>234.4</v>
      </c>
      <c r="D23" t="inlineStr">
        <is>
          <t>USD millions</t>
        </is>
      </c>
      <c r="E23" t="inlineStr">
        <is>
          <t>https://finance.yahoo.com/markets/stocks/articles/enghouse-systems-ltd-eghsf-q2-010050704.html</t>
        </is>
      </c>
    </row>
    <row r="24">
      <c r="A24" t="inlineStr">
        <is>
          <t>Enghouse Systems (ENGH)</t>
        </is>
      </c>
      <c r="B24" t="inlineStr">
        <is>
          <t>H1 2026 revenue growth yoy</t>
        </is>
      </c>
      <c r="C24" t="n">
        <v>-5.8</v>
      </c>
      <c r="D24" t="inlineStr">
        <is>
          <t>percent</t>
        </is>
      </c>
      <c r="E24" t="inlineStr">
        <is>
          <t>https://finance.yahoo.com/markets/stocks/articles/enghouse-systems-ltd-eghsf-q2-010050704.html</t>
        </is>
      </c>
    </row>
    <row r="25">
      <c r="A25" t="inlineStr">
        <is>
          <t>Enghouse Systems (ENGH)</t>
        </is>
      </c>
      <c r="B25" t="inlineStr">
        <is>
          <t>Q2 2026 revenue</t>
        </is>
      </c>
      <c r="C25" t="n">
        <v>114.3</v>
      </c>
      <c r="D25" t="inlineStr">
        <is>
          <t>USD millions</t>
        </is>
      </c>
      <c r="E25" t="inlineStr">
        <is>
          <t>https://finance.yahoo.com/markets/stocks/articles/enghouse-systems-ltd-eghsf-q2-010050704.html</t>
        </is>
      </c>
    </row>
    <row r="26">
      <c r="A26" t="inlineStr">
        <is>
          <t>Enghouse Systems (ENGH)</t>
        </is>
      </c>
      <c r="B26" t="inlineStr">
        <is>
          <t>Q2 2026 net income</t>
        </is>
      </c>
      <c r="C26" t="n">
        <v>16.3</v>
      </c>
      <c r="D26" t="inlineStr">
        <is>
          <t>USD millions</t>
        </is>
      </c>
      <c r="E26" t="inlineStr">
        <is>
          <t>https://finance.yahoo.com/markets/stocks/articles/enghouse-systems-ltd-eghsf-q2-010050704.html</t>
        </is>
      </c>
    </row>
    <row r="27">
      <c r="A27" t="inlineStr">
        <is>
          <t>Enghouse Systems (ENGH)</t>
        </is>
      </c>
      <c r="B27" t="inlineStr">
        <is>
          <t>Q2 2026 adjusted ebitda</t>
        </is>
      </c>
      <c r="C27" t="n">
        <v>26.5</v>
      </c>
      <c r="D27" t="inlineStr">
        <is>
          <t>USD millions</t>
        </is>
      </c>
      <c r="E27" t="inlineStr">
        <is>
          <t>https://finance.yahoo.com/markets/stocks/articles/enghouse-systems-ltd-eghsf-q2-010050704.html</t>
        </is>
      </c>
    </row>
    <row r="28">
      <c r="A28" t="inlineStr">
        <is>
          <t>Enghouse Systems (ENGH)</t>
        </is>
      </c>
      <c r="B28" t="inlineStr">
        <is>
          <t>cash</t>
        </is>
      </c>
      <c r="C28" t="n">
        <v>269.7</v>
      </c>
      <c r="D28" t="inlineStr">
        <is>
          <t>USD millions</t>
        </is>
      </c>
      <c r="E28" t="inlineStr">
        <is>
          <t>https://finance.yahoo.com/markets/stocks/articles/enghouse-systems-ltd-eghsf-q2-010050704.html</t>
        </is>
      </c>
    </row>
    <row r="29">
      <c r="A29" t="inlineStr">
        <is>
          <t>Enghouse Systems (ENGH)</t>
        </is>
      </c>
      <c r="B29" t="inlineStr">
        <is>
          <t>Q2 2026 net_margin</t>
        </is>
      </c>
      <c r="C29" t="n">
        <v>0.1426071741032371</v>
      </c>
      <c r="D29" t="inlineStr">
        <is>
          <t>Q2 2026 net income/Q2 2026 revenue</t>
        </is>
      </c>
      <c r="E29" t="inlineStr"/>
    </row>
    <row r="30">
      <c r="A30" t="inlineStr">
        <is>
          <t>Enghouse Systems (ENGH)</t>
        </is>
      </c>
      <c r="B30" t="inlineStr">
        <is>
          <t>Q2 2026 adjusted_ebitda_margin</t>
        </is>
      </c>
      <c r="C30" t="n">
        <v>0.231846019247594</v>
      </c>
      <c r="D30" t="inlineStr">
        <is>
          <t>Q2 2026 adjusted ebitda/Q2 2026 revenue</t>
        </is>
      </c>
      <c r="E30" t="inlineStr"/>
    </row>
    <row r="31">
      <c r="A31" t="inlineStr">
        <is>
          <t>Roper Technologies (ROP)</t>
        </is>
      </c>
      <c r="B31" t="inlineStr">
        <is>
          <t>status</t>
        </is>
      </c>
      <c r="C31" t="inlineStr">
        <is>
          <t>no data retrieved, WebSearch budget exhausted per stage1 peers_large.json</t>
        </is>
      </c>
      <c r="D31" t="inlineStr"/>
      <c r="E31" t="inlineStr"/>
    </row>
    <row r="32">
      <c r="A32" t="inlineStr">
        <is>
          <t>Tyler Technologies (TYL)</t>
        </is>
      </c>
      <c r="B32" t="inlineStr">
        <is>
          <t>status</t>
        </is>
      </c>
      <c r="C32" t="inlineStr">
        <is>
          <t>no data retrieved, WebSearch budget exhausted per stage1 peers_large.json</t>
        </is>
      </c>
      <c r="D32" t="inlineStr"/>
      <c r="E32" t="inlineStr"/>
    </row>
    <row r="33">
      <c r="A33" t="inlineStr">
        <is>
          <t>Open Text (OTEX)</t>
        </is>
      </c>
      <c r="B33" t="inlineStr">
        <is>
          <t>status</t>
        </is>
      </c>
      <c r="C33" t="inlineStr">
        <is>
          <t>no data retrieved, WebSearch budget exhausted per stage1 peers_large.json</t>
        </is>
      </c>
      <c r="D33" t="inlineStr"/>
      <c r="E33" t="inlineStr"/>
    </row>
    <row r="34">
      <c r="A34" t="inlineStr">
        <is>
          <t>Constellation Software (CSU) [same definitions]</t>
        </is>
      </c>
      <c r="B34" t="inlineStr">
        <is>
          <t>H1 2026 revenue_growth_yoy</t>
        </is>
      </c>
      <c r="C34" t="n">
        <v>0.1851582393597673</v>
      </c>
      <c r="D34" t="inlineStr"/>
      <c r="E34" t="inlineStr"/>
    </row>
    <row r="35">
      <c r="A35" t="inlineStr">
        <is>
          <t>Constellation Software (CSU) [same definitions]</t>
        </is>
      </c>
      <c r="B35" t="inlineStr">
        <is>
          <t>H1 2026 organic_growth_pct</t>
        </is>
      </c>
      <c r="C35" t="n">
        <v>4</v>
      </c>
      <c r="D35" t="inlineStr"/>
      <c r="E35" t="inlineStr"/>
    </row>
    <row r="36">
      <c r="A36" t="inlineStr">
        <is>
          <t>Constellation Software (CSU) [same definitions]</t>
        </is>
      </c>
      <c r="B36" t="inlineStr">
        <is>
          <t>H1 2026 net_margin</t>
        </is>
      </c>
      <c r="C36" t="n">
        <v>0.0983732351135666</v>
      </c>
      <c r="D36" t="inlineStr"/>
      <c r="E36" t="inlineStr"/>
    </row>
    <row r="37">
      <c r="A37" t="inlineStr">
        <is>
          <t>Constellation Software (CSU) [same definitions]</t>
        </is>
      </c>
      <c r="B37" t="inlineStr">
        <is>
          <t>Q1 2026 revenue_growth_yoy</t>
        </is>
      </c>
      <c r="C37" t="n">
        <v>0.2003773584905661</v>
      </c>
      <c r="D37" t="inlineStr"/>
      <c r="E37" t="inlineStr"/>
    </row>
    <row r="38">
      <c r="A38" t="inlineStr">
        <is>
          <t>Constellation Software (CSU) [same definitions]</t>
        </is>
      </c>
      <c r="B38" t="inlineStr">
        <is>
          <t>Q1 2026 organic_growth_pct</t>
        </is>
      </c>
      <c r="C38" t="n">
        <v>6</v>
      </c>
      <c r="D38" t="inlineStr"/>
      <c r="E38" t="inlineStr"/>
    </row>
    <row r="39">
      <c r="A39" t="inlineStr">
        <is>
          <t>Constellation Software (CSU) [same definitions]</t>
        </is>
      </c>
      <c r="B39" t="inlineStr">
        <is>
          <t>Q1 2026 net_margin</t>
        </is>
      </c>
      <c r="C39" t="n">
        <v>0.1153725243634077</v>
      </c>
      <c r="D39" t="inlineStr"/>
      <c r="E39" t="inlineStr"/>
    </row>
    <row r="40">
      <c r="A40" t="inlineStr">
        <is>
          <t>Constellation Software (CSU) [same definitions]</t>
        </is>
      </c>
      <c r="B40" t="inlineStr">
        <is>
          <t>Q2 2026 revenue_growth_yoy</t>
        </is>
      </c>
      <c r="C40" t="n">
        <v>0.1726441631504922</v>
      </c>
      <c r="D40" t="inlineStr"/>
      <c r="E40" t="inlineStr"/>
    </row>
    <row r="41">
      <c r="A41" t="inlineStr">
        <is>
          <t>Constellation Software (CSU) [same definitions]</t>
        </is>
      </c>
      <c r="B41" t="inlineStr">
        <is>
          <t>Q2 2026 organic_growth_pct</t>
        </is>
      </c>
      <c r="C41" t="n">
        <v>3</v>
      </c>
      <c r="D41" t="inlineStr"/>
      <c r="E41" t="inlineStr"/>
    </row>
    <row r="42">
      <c r="A42" t="inlineStr">
        <is>
          <t>Constellation Software (CSU) [same definitions]</t>
        </is>
      </c>
      <c r="B42" t="inlineStr">
        <is>
          <t>Q2 2026 net_margin</t>
        </is>
      </c>
      <c r="C42" t="n">
        <v>0.08215892053973013</v>
      </c>
      <c r="D42" t="inlineStr"/>
      <c r="E42" t="inlineStr"/>
    </row>
    <row r="43">
      <c r="A43" t="inlineStr">
        <is>
          <t>Constellation Software (CSU) [same definitions]</t>
        </is>
      </c>
      <c r="B43" t="inlineStr">
        <is>
          <t>adjusted_ebitda_margin</t>
        </is>
      </c>
      <c r="D43" t="inlineStr"/>
      <c r="E43" t="inlineStr"/>
    </row>
    <row r="44">
      <c r="A44" t="inlineStr">
        <is>
          <t>Constellation Software (CSU) [same definitions]</t>
        </is>
      </c>
      <c r="B44" t="inlineStr">
        <is>
          <t>note</t>
        </is>
      </c>
      <c r="C44" t="inlineStr">
        <is>
          <t>CSU has no adjusted_ebita/EBITDA figure in ledger, so ebitda margin is null for all periods.</t>
        </is>
      </c>
      <c r="D44" t="inlineStr"/>
      <c r="E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Scenario inputs</t>
        </is>
      </c>
    </row>
    <row r="2">
      <c r="A2" t="inlineStr">
        <is>
          <t>current_fcfa2s_per_share</t>
        </is>
      </c>
      <c r="B2" t="n">
        <v>95.79990561585653</v>
      </c>
    </row>
    <row r="3">
      <c r="A3" t="inlineStr">
        <is>
          <t>current_multiple</t>
        </is>
      </c>
      <c r="B3" t="n">
        <v>23.62068965517241</v>
      </c>
    </row>
    <row r="4">
      <c r="A4" t="inlineStr">
        <is>
          <t>entry_price_usd</t>
        </is>
      </c>
      <c r="B4" t="n">
        <v>2262.859839546956</v>
      </c>
    </row>
    <row r="6">
      <c r="A6" t="inlineStr">
        <is>
          <t>5yr IRR grid (rows=fcfa2s growth, cols=exit multiple x fcfa2s)</t>
        </is>
      </c>
    </row>
    <row r="7">
      <c r="A7" t="inlineStr">
        <is>
          <t>growth \ exit_mult</t>
        </is>
      </c>
      <c r="B7" t="inlineStr">
        <is>
          <t>15x</t>
        </is>
      </c>
      <c r="C7" t="inlineStr">
        <is>
          <t>20x</t>
        </is>
      </c>
      <c r="D7" t="inlineStr">
        <is>
          <t>25x</t>
        </is>
      </c>
      <c r="E7" t="inlineStr">
        <is>
          <t>30x</t>
        </is>
      </c>
      <c r="F7" t="inlineStr">
        <is>
          <t>35x</t>
        </is>
      </c>
    </row>
    <row r="8">
      <c r="A8" t="n">
        <v>0</v>
      </c>
      <c r="B8">
        <f>(($B$2*(1+$A8)^5)*15/$B$4)^(1/5)-1</f>
        <v/>
      </c>
      <c r="C8">
        <f>(($B$2*(1+$A8)^5)*20/$B$4)^(1/5)-1</f>
        <v/>
      </c>
      <c r="D8">
        <f>(($B$2*(1+$A8)^5)*25/$B$4)^(1/5)-1</f>
        <v/>
      </c>
      <c r="E8">
        <f>(($B$2*(1+$A8)^5)*30/$B$4)^(1/5)-1</f>
        <v/>
      </c>
      <c r="F8">
        <f>(($B$2*(1+$A8)^5)*35/$B$4)^(1/5)-1</f>
        <v/>
      </c>
    </row>
    <row r="9">
      <c r="A9" t="n">
        <v>0.05</v>
      </c>
      <c r="B9">
        <f>(($B$2*(1+$A9)^5)*15/$B$4)^(1/5)-1</f>
        <v/>
      </c>
      <c r="C9">
        <f>(($B$2*(1+$A9)^5)*20/$B$4)^(1/5)-1</f>
        <v/>
      </c>
      <c r="D9">
        <f>(($B$2*(1+$A9)^5)*25/$B$4)^(1/5)-1</f>
        <v/>
      </c>
      <c r="E9">
        <f>(($B$2*(1+$A9)^5)*30/$B$4)^(1/5)-1</f>
        <v/>
      </c>
      <c r="F9">
        <f>(($B$2*(1+$A9)^5)*35/$B$4)^(1/5)-1</f>
        <v/>
      </c>
    </row>
    <row r="10">
      <c r="A10" t="n">
        <v>0.1</v>
      </c>
      <c r="B10">
        <f>(($B$2*(1+$A10)^5)*15/$B$4)^(1/5)-1</f>
        <v/>
      </c>
      <c r="C10">
        <f>(($B$2*(1+$A10)^5)*20/$B$4)^(1/5)-1</f>
        <v/>
      </c>
      <c r="D10">
        <f>(($B$2*(1+$A10)^5)*25/$B$4)^(1/5)-1</f>
        <v/>
      </c>
      <c r="E10">
        <f>(($B$2*(1+$A10)^5)*30/$B$4)^(1/5)-1</f>
        <v/>
      </c>
      <c r="F10">
        <f>(($B$2*(1+$A10)^5)*35/$B$4)^(1/5)-1</f>
        <v/>
      </c>
    </row>
    <row r="11">
      <c r="A11" t="n">
        <v>0.15</v>
      </c>
      <c r="B11">
        <f>(($B$2*(1+$A11)^5)*15/$B$4)^(1/5)-1</f>
        <v/>
      </c>
      <c r="C11">
        <f>(($B$2*(1+$A11)^5)*20/$B$4)^(1/5)-1</f>
        <v/>
      </c>
      <c r="D11">
        <f>(($B$2*(1+$A11)^5)*25/$B$4)^(1/5)-1</f>
        <v/>
      </c>
      <c r="E11">
        <f>(($B$2*(1+$A11)^5)*30/$B$4)^(1/5)-1</f>
        <v/>
      </c>
      <c r="F11">
        <f>(($B$2*(1+$A11)^5)*35/$B$4)^(1/5)-1</f>
        <v/>
      </c>
    </row>
    <row r="12">
      <c r="A12" t="n">
        <v>0.2</v>
      </c>
      <c r="B12">
        <f>(($B$2*(1+$A12)^5)*15/$B$4)^(1/5)-1</f>
        <v/>
      </c>
      <c r="C12">
        <f>(($B$2*(1+$A12)^5)*20/$B$4)^(1/5)-1</f>
        <v/>
      </c>
      <c r="D12">
        <f>(($B$2*(1+$A12)^5)*25/$B$4)^(1/5)-1</f>
        <v/>
      </c>
      <c r="E12">
        <f>(($B$2*(1+$A12)^5)*30/$B$4)^(1/5)-1</f>
        <v/>
      </c>
      <c r="F12">
        <f>(($B$2*(1+$A12)^5)*35/$B$4)^(1/5)-1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formula</t>
        </is>
      </c>
      <c r="D1" t="inlineStr">
        <is>
          <t>note</t>
        </is>
      </c>
    </row>
    <row r="2">
      <c r="A2" t="inlineStr">
        <is>
          <t>usdcad_derived</t>
        </is>
      </c>
      <c r="B2" t="n">
        <v>1.3594</v>
      </c>
      <c r="C2" t="inlineStr">
        <is>
          <t>market_cap_cad[2026-09-08] / market_cap_usd[2026-09]</t>
        </is>
      </c>
      <c r="D2" t="inlineStr">
        <is>
          <t>Two third party market caps on different days; low confidence, see sensitivity below.</t>
        </is>
      </c>
    </row>
    <row r="3">
      <c r="A3" t="inlineStr">
        <is>
          <t>implied_usdcad_in_report_entry</t>
        </is>
      </c>
      <c r="B3" t="n">
        <v>1.249719470281544</v>
      </c>
      <c r="C3" t="inlineStr">
        <is>
          <t>share_price_cad[2026-09-11] / implied_share_price_usd</t>
        </is>
      </c>
    </row>
    <row r="4">
      <c r="A4" t="inlineStr">
        <is>
          <t>net_income_ltm</t>
        </is>
      </c>
      <c r="B4" t="n">
        <v>961</v>
      </c>
      <c r="C4" t="inlineStr">
        <is>
          <t>net_income_attributable[FY2025] - [H1 2025] + [H1 2026]</t>
        </is>
      </c>
    </row>
    <row r="5">
      <c r="A5" t="inlineStr">
        <is>
          <t>pe_trailing_ltm</t>
        </is>
      </c>
      <c r="B5" t="n">
        <v>49.89594172736732</v>
      </c>
      <c r="C5" t="inlineStr">
        <is>
          <t>market_cap_usd[2026-09] / net_income_ltm</t>
        </is>
      </c>
      <c r="D5" t="inlineStr">
        <is>
          <t>Replaces the FY2025 only P/E as the trailing figure. Still distorted by the Q2 2026 FX and IRGA gains.</t>
        </is>
      </c>
    </row>
    <row r="6">
      <c r="A6" t="inlineStr">
        <is>
          <t>pe_trailing_ltm_at_derived_fx</t>
        </is>
      </c>
      <c r="B6" t="n">
        <v>45.87018527638976</v>
      </c>
      <c r="C6" t="inlineStr">
        <is>
          <t>(share_price_cad / usdcad * shares_outstanding[Q2 2026]) / net_income_ltm</t>
        </is>
      </c>
    </row>
    <row r="7">
      <c r="A7" t="inlineStr">
        <is>
          <t>net_debt_rollforward</t>
        </is>
      </c>
      <c r="B7" t="n">
        <v>1388.19</v>
      </c>
      <c r="C7" t="inlineStr">
        <is>
          <t>net_debt[Q1 2026] + acquisitions_cash_spent[Q2 2026] - fcfa2s[Q2 2026] + dividends_per_share[Q2 2026]*shares_outstanding[Q2 2026]</t>
        </is>
      </c>
      <c r="D7" t="inlineStr">
        <is>
          <t>Estimate of Q2 2026 net debt if the reported 5,000 / 2,800 balance sheet is a stale September 2025 snapshot. Ignores FX, deferred consideration and working capital.</t>
        </is>
      </c>
    </row>
    <row r="8">
      <c r="A8" t="inlineStr">
        <is>
          <t>net_debt_rollforward_to_ltm_fcfa2s</t>
        </is>
      </c>
      <c r="B8" t="n">
        <v>0.6838374384236453</v>
      </c>
      <c r="C8" t="inlineStr">
        <is>
          <t>net_debt_rollforward / fcfa2s[LTM to Q2 2026]</t>
        </is>
      </c>
    </row>
    <row r="9">
      <c r="A9" t="inlineStr">
        <is>
          <t>acquisitions_h1_2026_cash_vs_fy2025</t>
        </is>
      </c>
      <c r="B9" t="n">
        <v>0.9050031665611147</v>
      </c>
      <c r="C9" t="inlineStr">
        <is>
          <t>acquisitions_cash_spent[H1 2026] / acquisitions_cash_spent[FY2025]</t>
        </is>
      </c>
    </row>
    <row r="10">
      <c r="A10" t="inlineStr">
        <is>
          <t>acquisitions_h1_2026_total_consideration</t>
        </is>
      </c>
      <c r="B10" t="n">
        <v>1702</v>
      </c>
      <c r="C10" t="inlineStr">
        <is>
          <t>Q1 2026 total consideration 809 + Q2 2026 total consideration 893 (from stage1 q1_2026.json and q2_2026.json)</t>
        </is>
      </c>
    </row>
    <row r="12">
      <c r="A12" t="inlineStr">
        <is>
          <t>FX sensitivity</t>
        </is>
      </c>
      <c r="B12" t="inlineStr">
        <is>
          <t>usdcad</t>
        </is>
      </c>
      <c r="C12" t="inlineStr">
        <is>
          <t>entry_price_usd</t>
        </is>
      </c>
      <c r="D12" t="inlineStr">
        <is>
          <t>multiple_price_to_fcfa2s</t>
        </is>
      </c>
      <c r="E12" t="inlineStr">
        <is>
          <t>fcfa2s_yield</t>
        </is>
      </c>
      <c r="F12" t="inlineStr">
        <is>
          <t>irr_bear</t>
        </is>
      </c>
      <c r="G12" t="inlineStr">
        <is>
          <t>irr_base</t>
        </is>
      </c>
      <c r="H12" t="inlineStr">
        <is>
          <t>irr_bull</t>
        </is>
      </c>
      <c r="I12" t="inlineStr">
        <is>
          <t>irr_expected</t>
        </is>
      </c>
      <c r="J12" t="inlineStr">
        <is>
          <t>buy_price_usd_for_12pct</t>
        </is>
      </c>
      <c r="K12" t="inlineStr">
        <is>
          <t>buy_price_cad_for_12pct</t>
        </is>
      </c>
      <c r="L12" t="inlineStr">
        <is>
          <t>price_usd_where_irr_falls_below_8pct</t>
        </is>
      </c>
      <c r="M12" t="inlineStr">
        <is>
          <t>price_cad_where_irr_falls_below_8pct</t>
        </is>
      </c>
      <c r="N12" t="inlineStr">
        <is>
          <t>derived_rate</t>
        </is>
      </c>
    </row>
    <row r="13">
      <c r="A13" t="inlineStr"/>
      <c r="B13" t="n">
        <v>1.25</v>
      </c>
      <c r="C13" t="n">
        <v>2262.352</v>
      </c>
      <c r="D13" t="n">
        <v>23.61538861083744</v>
      </c>
      <c r="E13" t="n">
        <v>0.04234526970862913</v>
      </c>
      <c r="F13" t="n">
        <v>-0.04111056956127823</v>
      </c>
      <c r="G13" t="n">
        <v>0.1126066914814243</v>
      </c>
      <c r="H13" t="n">
        <v>0.2063770648327179</v>
      </c>
      <c r="I13" t="n">
        <v>0.08524558783887227</v>
      </c>
      <c r="J13" t="n">
        <v>1932.458645259077</v>
      </c>
      <c r="K13" t="n">
        <v>2415.573306573846</v>
      </c>
      <c r="L13" t="n">
        <v>2317.829813078457</v>
      </c>
      <c r="M13" t="n">
        <v>2897.287266348071</v>
      </c>
      <c r="N13" t="b">
        <v>0</v>
      </c>
    </row>
    <row r="14">
      <c r="A14" t="inlineStr"/>
      <c r="B14" t="n">
        <v>1.3</v>
      </c>
      <c r="C14" t="n">
        <v>2175.338461538462</v>
      </c>
      <c r="D14" t="n">
        <v>22.70710443349754</v>
      </c>
      <c r="E14" t="n">
        <v>0.0440390804969743</v>
      </c>
      <c r="F14" t="n">
        <v>-0.03355932630664527</v>
      </c>
      <c r="G14" t="n">
        <v>0.1213684564017705</v>
      </c>
      <c r="H14" t="n">
        <v>0.2158772703665239</v>
      </c>
      <c r="I14" t="n">
        <v>0.09379188438219646</v>
      </c>
      <c r="J14" t="n">
        <v>1932.458645259077</v>
      </c>
      <c r="K14" t="n">
        <v>2512.1962388368</v>
      </c>
      <c r="L14" t="n">
        <v>2317.829813078457</v>
      </c>
      <c r="M14" t="n">
        <v>3013.178757001994</v>
      </c>
      <c r="N14" t="b">
        <v>0</v>
      </c>
    </row>
    <row r="15">
      <c r="A15" t="inlineStr"/>
      <c r="B15" t="n">
        <v>1.35</v>
      </c>
      <c r="C15" t="n">
        <v>2094.77037037037</v>
      </c>
      <c r="D15" t="n">
        <v>21.86610056559022</v>
      </c>
      <c r="E15" t="n">
        <v>0.04573289128531947</v>
      </c>
      <c r="F15" t="n">
        <v>-0.0262369686533408</v>
      </c>
      <c r="G15" t="n">
        <v>0.1298646436198936</v>
      </c>
      <c r="H15" t="n">
        <v>0.2250895153376749</v>
      </c>
      <c r="I15" t="n">
        <v>0.1020791342814795</v>
      </c>
      <c r="J15" t="n">
        <v>1932.458645259077</v>
      </c>
      <c r="K15" t="n">
        <v>2608.819171099753</v>
      </c>
      <c r="L15" t="n">
        <v>2317.829813078457</v>
      </c>
      <c r="M15" t="n">
        <v>3129.070247655917</v>
      </c>
      <c r="N15" t="b">
        <v>0</v>
      </c>
    </row>
    <row r="16">
      <c r="A16" t="inlineStr"/>
      <c r="B16" t="n">
        <v>1.3594</v>
      </c>
      <c r="C16" t="n">
        <v>2080.285420038252</v>
      </c>
      <c r="D16" t="n">
        <v>21.71490051754215</v>
      </c>
      <c r="E16" t="n">
        <v>0.04605132771352835</v>
      </c>
      <c r="F16" t="n">
        <v>-0.02488467463135768</v>
      </c>
      <c r="G16" t="n">
        <v>0.1314337206479095</v>
      </c>
      <c r="H16" t="n">
        <v>0.2267908340103444</v>
      </c>
      <c r="I16" t="n">
        <v>0.1036096247366163</v>
      </c>
      <c r="J16" t="n">
        <v>1932.458645259077</v>
      </c>
      <c r="K16" t="n">
        <v>2626.984282365188</v>
      </c>
      <c r="L16" t="n">
        <v>2317.829813078457</v>
      </c>
      <c r="M16" t="n">
        <v>3150.857847898854</v>
      </c>
      <c r="N16" t="b">
        <v>1</v>
      </c>
    </row>
    <row r="17">
      <c r="A17" t="inlineStr"/>
      <c r="B17" t="n">
        <v>1.4</v>
      </c>
      <c r="C17" t="n">
        <v>2019.957142857143</v>
      </c>
      <c r="D17" t="n">
        <v>21.08516840253343</v>
      </c>
      <c r="E17" t="n">
        <v>0.04742670207366462</v>
      </c>
      <c r="F17" t="n">
        <v>-0.01912845451508394</v>
      </c>
      <c r="G17" t="n">
        <v>0.1381127065827905</v>
      </c>
      <c r="H17" t="n">
        <v>0.2340327241678197</v>
      </c>
      <c r="I17" t="n">
        <v>0.110124361770434</v>
      </c>
      <c r="J17" t="n">
        <v>1932.458645259077</v>
      </c>
      <c r="K17" t="n">
        <v>2705.442103362707</v>
      </c>
      <c r="L17" t="n">
        <v>2317.829813078457</v>
      </c>
      <c r="M17" t="n">
        <v>3244.961738309839</v>
      </c>
      <c r="N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2026-09-13T23:53:33Z</dcterms:created>
  <dcterms:modified xsi:type="dcterms:W3CDTF">2026-09-13T23:53:33Z</dcterms:modified>
</cp:coreProperties>
</file>