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1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\Dropbox\SCHOOL\CASES\TEMPLATE\"/>
    </mc:Choice>
  </mc:AlternateContent>
  <xr:revisionPtr revIDLastSave="0" documentId="13_ncr:1_{BF900F28-CB49-4404-B1D3-620049A9FF21}" xr6:coauthVersionLast="47" xr6:coauthVersionMax="47" xr10:uidLastSave="{00000000-0000-0000-0000-000000000000}"/>
  <bookViews>
    <workbookView xWindow="28680" yWindow="855" windowWidth="29040" windowHeight="15720" xr2:uid="{B28E6DC8-EE94-43F1-AC8A-78A63BC32958}"/>
  </bookViews>
  <sheets>
    <sheet name="Financials" sheetId="1" r:id="rId1"/>
    <sheet name="Charts" sheetId="3" r:id="rId2"/>
    <sheet name="Call-out" sheetId="4" r:id="rId3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45427.3872453704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42" i="1" l="1"/>
  <c r="L42" i="1"/>
  <c r="K42" i="1"/>
  <c r="J42" i="1"/>
  <c r="I42" i="1"/>
  <c r="H42" i="1"/>
  <c r="G42" i="1"/>
  <c r="F42" i="1"/>
  <c r="E42" i="1"/>
  <c r="D42" i="1"/>
  <c r="E127" i="1"/>
  <c r="F127" i="1"/>
  <c r="G127" i="1"/>
  <c r="H127" i="1"/>
  <c r="I127" i="1"/>
  <c r="J127" i="1"/>
  <c r="K127" i="1"/>
  <c r="L127" i="1"/>
  <c r="M127" i="1"/>
  <c r="D127" i="1"/>
  <c r="Q3" i="3" l="1"/>
  <c r="H38" i="1"/>
  <c r="D129" i="1"/>
  <c r="D78" i="1"/>
  <c r="D68" i="1"/>
  <c r="D67" i="1"/>
  <c r="F68" i="1" l="1"/>
  <c r="G68" i="1"/>
  <c r="G70" i="1" s="1"/>
  <c r="H68" i="1"/>
  <c r="I68" i="1"/>
  <c r="L48" i="1"/>
  <c r="D33" i="1"/>
  <c r="D38" i="1"/>
  <c r="D39" i="1" s="1"/>
  <c r="D34" i="1"/>
  <c r="C99" i="1"/>
  <c r="C96" i="1"/>
  <c r="D7" i="4"/>
  <c r="E7" i="4"/>
  <c r="F7" i="4"/>
  <c r="G7" i="4"/>
  <c r="H7" i="4"/>
  <c r="I7" i="4"/>
  <c r="J7" i="4"/>
  <c r="K7" i="4"/>
  <c r="C2" i="3"/>
  <c r="C13" i="3" s="1"/>
  <c r="D2" i="3"/>
  <c r="D13" i="3" s="1"/>
  <c r="Q4" i="3"/>
  <c r="Q5" i="3"/>
  <c r="Q6" i="3"/>
  <c r="Q7" i="3"/>
  <c r="Q8" i="3"/>
  <c r="Q9" i="3"/>
  <c r="C14" i="3"/>
  <c r="D14" i="3"/>
  <c r="E14" i="3"/>
  <c r="F14" i="3"/>
  <c r="G14" i="3"/>
  <c r="H14" i="3"/>
  <c r="I14" i="3"/>
  <c r="J14" i="3"/>
  <c r="K14" i="3"/>
  <c r="L14" i="3"/>
  <c r="B5" i="1"/>
  <c r="E7" i="1"/>
  <c r="F7" i="1" s="1"/>
  <c r="M12" i="1"/>
  <c r="M13" i="1"/>
  <c r="M14" i="1"/>
  <c r="M33" i="1"/>
  <c r="M38" i="1"/>
  <c r="M88" i="1" s="1"/>
  <c r="M77" i="1"/>
  <c r="M78" i="1"/>
  <c r="D12" i="1"/>
  <c r="E12" i="1"/>
  <c r="F12" i="1"/>
  <c r="G12" i="1"/>
  <c r="H12" i="1"/>
  <c r="I12" i="1"/>
  <c r="J12" i="1"/>
  <c r="J15" i="1" s="1"/>
  <c r="K12" i="1"/>
  <c r="L12" i="1"/>
  <c r="L15" i="1" s="1"/>
  <c r="D13" i="1"/>
  <c r="D15" i="1" s="1"/>
  <c r="E13" i="1"/>
  <c r="F13" i="1"/>
  <c r="G13" i="1"/>
  <c r="H13" i="1"/>
  <c r="I13" i="1"/>
  <c r="J13" i="1"/>
  <c r="K13" i="1"/>
  <c r="L13" i="1"/>
  <c r="M68" i="1"/>
  <c r="M70" i="1" s="1"/>
  <c r="D14" i="1"/>
  <c r="E14" i="1"/>
  <c r="E15" i="1" s="1"/>
  <c r="F14" i="1"/>
  <c r="F15" i="1" s="1"/>
  <c r="F16" i="1" s="1"/>
  <c r="G14" i="1"/>
  <c r="G15" i="1" s="1"/>
  <c r="H14" i="1"/>
  <c r="I14" i="1"/>
  <c r="J14" i="1"/>
  <c r="K14" i="1"/>
  <c r="L14" i="1"/>
  <c r="H15" i="1"/>
  <c r="H143" i="1" s="1"/>
  <c r="I15" i="1"/>
  <c r="I143" i="1" s="1"/>
  <c r="K15" i="1"/>
  <c r="K16" i="1" s="1"/>
  <c r="I33" i="1"/>
  <c r="I38" i="1" s="1"/>
  <c r="I77" i="1"/>
  <c r="I78" i="1"/>
  <c r="I16" i="1"/>
  <c r="D17" i="1"/>
  <c r="E68" i="1"/>
  <c r="E70" i="1" s="1"/>
  <c r="E17" i="1"/>
  <c r="J68" i="1"/>
  <c r="J17" i="1" s="1"/>
  <c r="K68" i="1"/>
  <c r="K17" i="1" s="1"/>
  <c r="L68" i="1"/>
  <c r="L17" i="1" s="1"/>
  <c r="L33" i="1"/>
  <c r="L38" i="1"/>
  <c r="L45" i="1"/>
  <c r="L121" i="1" s="1"/>
  <c r="L76" i="1"/>
  <c r="L80" i="1" s="1"/>
  <c r="L112" i="1"/>
  <c r="L126" i="1"/>
  <c r="L77" i="1"/>
  <c r="L78" i="1"/>
  <c r="L105" i="1"/>
  <c r="L107" i="1" s="1"/>
  <c r="L108" i="1" s="1"/>
  <c r="L92" i="1"/>
  <c r="L118" i="1" s="1"/>
  <c r="M67" i="1"/>
  <c r="B28" i="1"/>
  <c r="D30" i="1"/>
  <c r="E30" i="1" s="1"/>
  <c r="F30" i="1" s="1"/>
  <c r="G30" i="1" s="1"/>
  <c r="H30" i="1" s="1"/>
  <c r="I30" i="1" s="1"/>
  <c r="J30" i="1" s="1"/>
  <c r="E33" i="1"/>
  <c r="E34" i="1" s="1"/>
  <c r="F33" i="1"/>
  <c r="F38" i="1" s="1"/>
  <c r="G33" i="1"/>
  <c r="G38" i="1" s="1"/>
  <c r="H33" i="1"/>
  <c r="J33" i="1"/>
  <c r="K33" i="1"/>
  <c r="K38" i="1" s="1"/>
  <c r="H34" i="1"/>
  <c r="I34" i="1"/>
  <c r="J34" i="1"/>
  <c r="K34" i="1"/>
  <c r="L34" i="1"/>
  <c r="M34" i="1"/>
  <c r="E38" i="1"/>
  <c r="J38" i="1"/>
  <c r="J39" i="1"/>
  <c r="I15" i="3" s="1"/>
  <c r="L39" i="1"/>
  <c r="K15" i="3" s="1"/>
  <c r="D52" i="1"/>
  <c r="E52" i="1" s="1"/>
  <c r="F52" i="1" s="1"/>
  <c r="G52" i="1" s="1"/>
  <c r="H52" i="1" s="1"/>
  <c r="I52" i="1" s="1"/>
  <c r="J52" i="1" s="1"/>
  <c r="E67" i="1"/>
  <c r="F67" i="1"/>
  <c r="G67" i="1"/>
  <c r="H67" i="1"/>
  <c r="I67" i="1"/>
  <c r="J67" i="1"/>
  <c r="K67" i="1"/>
  <c r="L67" i="1"/>
  <c r="B72" i="1"/>
  <c r="D75" i="1"/>
  <c r="E75" i="1" s="1"/>
  <c r="F75" i="1" s="1"/>
  <c r="G75" i="1" s="1"/>
  <c r="H75" i="1" s="1"/>
  <c r="I75" i="1" s="1"/>
  <c r="J75" i="1" s="1"/>
  <c r="D77" i="1"/>
  <c r="E77" i="1"/>
  <c r="F77" i="1"/>
  <c r="G77" i="1"/>
  <c r="H77" i="1"/>
  <c r="J77" i="1"/>
  <c r="J89" i="1" s="1"/>
  <c r="J90" i="1" s="1"/>
  <c r="J93" i="1" s="1"/>
  <c r="J94" i="1" s="1"/>
  <c r="K77" i="1"/>
  <c r="E78" i="1"/>
  <c r="F78" i="1"/>
  <c r="G78" i="1"/>
  <c r="H78" i="1"/>
  <c r="J78" i="1"/>
  <c r="K78" i="1"/>
  <c r="J88" i="1"/>
  <c r="L88" i="1"/>
  <c r="D89" i="1"/>
  <c r="E89" i="1"/>
  <c r="F89" i="1"/>
  <c r="G89" i="1"/>
  <c r="H89" i="1"/>
  <c r="I89" i="1"/>
  <c r="K89" i="1"/>
  <c r="L89" i="1"/>
  <c r="M89" i="1"/>
  <c r="L90" i="1"/>
  <c r="L93" i="1" s="1"/>
  <c r="L94" i="1" s="1"/>
  <c r="M90" i="1"/>
  <c r="M93" i="1" s="1"/>
  <c r="M94" i="1" s="1"/>
  <c r="D91" i="1"/>
  <c r="E91" i="1"/>
  <c r="F91" i="1"/>
  <c r="G91" i="1"/>
  <c r="H91" i="1"/>
  <c r="I91" i="1"/>
  <c r="J91" i="1"/>
  <c r="K91" i="1"/>
  <c r="L91" i="1"/>
  <c r="M91" i="1"/>
  <c r="D105" i="1"/>
  <c r="D92" i="1"/>
  <c r="E105" i="1"/>
  <c r="E92" i="1"/>
  <c r="F105" i="1"/>
  <c r="F107" i="1" s="1"/>
  <c r="F108" i="1" s="1"/>
  <c r="F92" i="1"/>
  <c r="F118" i="1" s="1"/>
  <c r="G105" i="1"/>
  <c r="G92" i="1" s="1"/>
  <c r="G118" i="1" s="1"/>
  <c r="H105" i="1"/>
  <c r="H92" i="1"/>
  <c r="H118" i="1" s="1"/>
  <c r="I105" i="1"/>
  <c r="I92" i="1"/>
  <c r="I118" i="1" s="1"/>
  <c r="J105" i="1"/>
  <c r="J92" i="1"/>
  <c r="K105" i="1"/>
  <c r="K92" i="1"/>
  <c r="K118" i="1" s="1"/>
  <c r="M105" i="1"/>
  <c r="M107" i="1" s="1"/>
  <c r="M108" i="1" s="1"/>
  <c r="M92" i="1"/>
  <c r="M118" i="1" s="1"/>
  <c r="B102" i="1"/>
  <c r="D104" i="1"/>
  <c r="E104" i="1" s="1"/>
  <c r="F104" i="1" s="1"/>
  <c r="G104" i="1" s="1"/>
  <c r="H104" i="1" s="1"/>
  <c r="I104" i="1" s="1"/>
  <c r="J104" i="1" s="1"/>
  <c r="D107" i="1"/>
  <c r="D108" i="1" s="1"/>
  <c r="E107" i="1"/>
  <c r="E108" i="1" s="1"/>
  <c r="H107" i="1"/>
  <c r="I107" i="1"/>
  <c r="J107" i="1"/>
  <c r="K107" i="1"/>
  <c r="H108" i="1"/>
  <c r="I108" i="1"/>
  <c r="J108" i="1"/>
  <c r="K108" i="1"/>
  <c r="D112" i="1"/>
  <c r="E112" i="1"/>
  <c r="E126" i="1" s="1"/>
  <c r="F112" i="1"/>
  <c r="G112" i="1"/>
  <c r="G126" i="1" s="1"/>
  <c r="H112" i="1"/>
  <c r="I112" i="1"/>
  <c r="J112" i="1"/>
  <c r="K112" i="1"/>
  <c r="M112" i="1"/>
  <c r="B114" i="1"/>
  <c r="D116" i="1"/>
  <c r="C2" i="4" s="1"/>
  <c r="C9" i="4" s="1"/>
  <c r="D118" i="1"/>
  <c r="E118" i="1"/>
  <c r="J118" i="1"/>
  <c r="D126" i="1"/>
  <c r="F126" i="1"/>
  <c r="H126" i="1"/>
  <c r="I126" i="1"/>
  <c r="J126" i="1"/>
  <c r="K126" i="1"/>
  <c r="M126" i="1"/>
  <c r="B136" i="1"/>
  <c r="D137" i="1"/>
  <c r="E137" i="1" s="1"/>
  <c r="F137" i="1" s="1"/>
  <c r="G137" i="1" s="1"/>
  <c r="H137" i="1" s="1"/>
  <c r="I137" i="1" s="1"/>
  <c r="J137" i="1" s="1"/>
  <c r="F70" i="1" l="1"/>
  <c r="F17" i="1"/>
  <c r="D70" i="1"/>
  <c r="I70" i="1"/>
  <c r="I17" i="1"/>
  <c r="H70" i="1"/>
  <c r="H17" i="1"/>
  <c r="L70" i="1"/>
  <c r="K70" i="1"/>
  <c r="J70" i="1"/>
  <c r="G17" i="1"/>
  <c r="L49" i="1"/>
  <c r="G7" i="1"/>
  <c r="H7" i="1" s="1"/>
  <c r="E2" i="3"/>
  <c r="E13" i="3" s="1"/>
  <c r="E116" i="1"/>
  <c r="D2" i="4" s="1"/>
  <c r="D9" i="4" s="1"/>
  <c r="M15" i="1"/>
  <c r="L16" i="1"/>
  <c r="L143" i="1"/>
  <c r="E48" i="1"/>
  <c r="E45" i="1"/>
  <c r="E121" i="1" s="1"/>
  <c r="G143" i="1"/>
  <c r="G16" i="1"/>
  <c r="I39" i="1"/>
  <c r="H15" i="3" s="1"/>
  <c r="I88" i="1"/>
  <c r="I90" i="1" s="1"/>
  <c r="I93" i="1" s="1"/>
  <c r="H8" i="3"/>
  <c r="H88" i="1"/>
  <c r="H90" i="1" s="1"/>
  <c r="H93" i="1" s="1"/>
  <c r="H94" i="1" s="1"/>
  <c r="H39" i="1"/>
  <c r="G15" i="3" s="1"/>
  <c r="G8" i="3"/>
  <c r="F143" i="1"/>
  <c r="G88" i="1"/>
  <c r="G90" i="1" s="1"/>
  <c r="G93" i="1" s="1"/>
  <c r="G94" i="1" s="1"/>
  <c r="G39" i="1"/>
  <c r="F15" i="3" s="1"/>
  <c r="J16" i="1"/>
  <c r="J143" i="1"/>
  <c r="F88" i="1"/>
  <c r="F90" i="1" s="1"/>
  <c r="F93" i="1" s="1"/>
  <c r="F94" i="1" s="1"/>
  <c r="F39" i="1"/>
  <c r="E15" i="3" s="1"/>
  <c r="L81" i="1"/>
  <c r="L84" i="1"/>
  <c r="K39" i="1"/>
  <c r="J15" i="3" s="1"/>
  <c r="K88" i="1"/>
  <c r="K90" i="1" s="1"/>
  <c r="K93" i="1" s="1"/>
  <c r="K94" i="1" s="1"/>
  <c r="F2" i="3"/>
  <c r="F13" i="3" s="1"/>
  <c r="J48" i="1"/>
  <c r="J45" i="1"/>
  <c r="J121" i="1" s="1"/>
  <c r="E143" i="1"/>
  <c r="E16" i="1"/>
  <c r="D143" i="1"/>
  <c r="D16" i="1"/>
  <c r="M39" i="1"/>
  <c r="L15" i="3" s="1"/>
  <c r="H16" i="1"/>
  <c r="K143" i="1"/>
  <c r="G34" i="1"/>
  <c r="E39" i="1"/>
  <c r="D15" i="3" s="1"/>
  <c r="F34" i="1"/>
  <c r="M17" i="1"/>
  <c r="C5" i="4"/>
  <c r="C14" i="4" s="1"/>
  <c r="E88" i="1"/>
  <c r="E90" i="1" s="1"/>
  <c r="E93" i="1" s="1"/>
  <c r="E94" i="1" s="1"/>
  <c r="G107" i="1"/>
  <c r="G108" i="1" s="1"/>
  <c r="F116" i="1" l="1"/>
  <c r="D5" i="4"/>
  <c r="D14" i="4" s="1"/>
  <c r="M16" i="1"/>
  <c r="M143" i="1"/>
  <c r="J49" i="1"/>
  <c r="J76" i="1"/>
  <c r="J80" i="1" s="1"/>
  <c r="C15" i="3"/>
  <c r="D88" i="1"/>
  <c r="D90" i="1" s="1"/>
  <c r="D93" i="1" s="1"/>
  <c r="D94" i="1" s="1"/>
  <c r="G48" i="1"/>
  <c r="G45" i="1"/>
  <c r="G121" i="1" s="1"/>
  <c r="C98" i="1"/>
  <c r="C100" i="1" s="1"/>
  <c r="I94" i="1"/>
  <c r="J8" i="3"/>
  <c r="F48" i="1"/>
  <c r="F45" i="1"/>
  <c r="F121" i="1" s="1"/>
  <c r="M48" i="1"/>
  <c r="M45" i="1"/>
  <c r="M121" i="1" s="1"/>
  <c r="I8" i="3"/>
  <c r="I48" i="1"/>
  <c r="I45" i="1"/>
  <c r="I121" i="1" s="1"/>
  <c r="C8" i="3"/>
  <c r="H48" i="1"/>
  <c r="H45" i="1"/>
  <c r="H121" i="1" s="1"/>
  <c r="F8" i="3"/>
  <c r="K48" i="1"/>
  <c r="K45" i="1"/>
  <c r="K121" i="1" s="1"/>
  <c r="D8" i="3"/>
  <c r="E2" i="4"/>
  <c r="E9" i="4" s="1"/>
  <c r="E5" i="4"/>
  <c r="E14" i="4" s="1"/>
  <c r="G116" i="1"/>
  <c r="E8" i="3"/>
  <c r="E76" i="1"/>
  <c r="E80" i="1" s="1"/>
  <c r="E49" i="1"/>
  <c r="I7" i="1"/>
  <c r="G2" i="3"/>
  <c r="G13" i="3" s="1"/>
  <c r="L85" i="1"/>
  <c r="L117" i="1"/>
  <c r="L120" i="1" s="1"/>
  <c r="K8" i="3"/>
  <c r="L8" i="3" l="1"/>
  <c r="D152" i="1"/>
  <c r="H116" i="1"/>
  <c r="F2" i="4"/>
  <c r="F9" i="4" s="1"/>
  <c r="F5" i="4"/>
  <c r="F14" i="4" s="1"/>
  <c r="L122" i="1"/>
  <c r="L123" i="1" s="1"/>
  <c r="I76" i="1"/>
  <c r="I80" i="1" s="1"/>
  <c r="I49" i="1"/>
  <c r="F49" i="1"/>
  <c r="F76" i="1"/>
  <c r="F80" i="1" s="1"/>
  <c r="F84" i="1" s="1"/>
  <c r="K49" i="1"/>
  <c r="K76" i="1"/>
  <c r="K80" i="1" s="1"/>
  <c r="J81" i="1"/>
  <c r="J84" i="1"/>
  <c r="G76" i="1"/>
  <c r="G80" i="1" s="1"/>
  <c r="G84" i="1" s="1"/>
  <c r="G49" i="1"/>
  <c r="E84" i="1"/>
  <c r="E81" i="1"/>
  <c r="D45" i="1"/>
  <c r="D121" i="1" s="1"/>
  <c r="D48" i="1"/>
  <c r="J7" i="1"/>
  <c r="H2" i="3"/>
  <c r="H13" i="3" s="1"/>
  <c r="M76" i="1"/>
  <c r="M80" i="1" s="1"/>
  <c r="M49" i="1"/>
  <c r="H49" i="1"/>
  <c r="H76" i="1"/>
  <c r="H80" i="1" s="1"/>
  <c r="I2" i="3" l="1"/>
  <c r="I13" i="3" s="1"/>
  <c r="K7" i="1"/>
  <c r="L124" i="1"/>
  <c r="K10" i="4" s="1"/>
  <c r="L140" i="1"/>
  <c r="K6" i="3" s="1"/>
  <c r="F81" i="1"/>
  <c r="M84" i="1"/>
  <c r="M81" i="1"/>
  <c r="K81" i="1"/>
  <c r="K84" i="1"/>
  <c r="D49" i="1"/>
  <c r="D76" i="1"/>
  <c r="D80" i="1" s="1"/>
  <c r="G81" i="1"/>
  <c r="E117" i="1"/>
  <c r="E120" i="1" s="1"/>
  <c r="E85" i="1"/>
  <c r="J117" i="1"/>
  <c r="J120" i="1" s="1"/>
  <c r="J85" i="1"/>
  <c r="H84" i="1"/>
  <c r="H81" i="1"/>
  <c r="I81" i="1"/>
  <c r="I84" i="1"/>
  <c r="I116" i="1"/>
  <c r="G2" i="4"/>
  <c r="G9" i="4" s="1"/>
  <c r="G5" i="4"/>
  <c r="G14" i="4" s="1"/>
  <c r="L7" i="1" l="1"/>
  <c r="J2" i="3"/>
  <c r="J13" i="3" s="1"/>
  <c r="K30" i="1"/>
  <c r="K116" i="1"/>
  <c r="K75" i="1"/>
  <c r="K137" i="1"/>
  <c r="K52" i="1"/>
  <c r="K104" i="1"/>
  <c r="D81" i="1"/>
  <c r="D84" i="1"/>
  <c r="G117" i="1"/>
  <c r="G120" i="1" s="1"/>
  <c r="G122" i="1" s="1"/>
  <c r="G85" i="1"/>
  <c r="J116" i="1"/>
  <c r="H2" i="4"/>
  <c r="H9" i="4" s="1"/>
  <c r="H5" i="4"/>
  <c r="H14" i="4" s="1"/>
  <c r="F85" i="1"/>
  <c r="F117" i="1"/>
  <c r="F120" i="1" s="1"/>
  <c r="K11" i="3"/>
  <c r="L142" i="1"/>
  <c r="K7" i="3" s="1"/>
  <c r="E122" i="1"/>
  <c r="E123" i="1" s="1"/>
  <c r="K117" i="1"/>
  <c r="K120" i="1" s="1"/>
  <c r="K85" i="1"/>
  <c r="I85" i="1"/>
  <c r="I117" i="1"/>
  <c r="I120" i="1" s="1"/>
  <c r="M85" i="1"/>
  <c r="M117" i="1"/>
  <c r="M120" i="1" s="1"/>
  <c r="H117" i="1"/>
  <c r="H120" i="1" s="1"/>
  <c r="H85" i="1"/>
  <c r="J122" i="1"/>
  <c r="J123" i="1" s="1"/>
  <c r="J2" i="4" l="1"/>
  <c r="J9" i="4" s="1"/>
  <c r="J5" i="4"/>
  <c r="L137" i="1"/>
  <c r="L104" i="1"/>
  <c r="K2" i="3"/>
  <c r="K13" i="3" s="1"/>
  <c r="L30" i="1"/>
  <c r="M7" i="1"/>
  <c r="L52" i="1"/>
  <c r="L116" i="1"/>
  <c r="L75" i="1"/>
  <c r="E140" i="1"/>
  <c r="E124" i="1"/>
  <c r="D10" i="4" s="1"/>
  <c r="J124" i="1"/>
  <c r="I10" i="4" s="1"/>
  <c r="J140" i="1"/>
  <c r="F122" i="1"/>
  <c r="F123" i="1"/>
  <c r="H122" i="1"/>
  <c r="H123" i="1" s="1"/>
  <c r="K122" i="1"/>
  <c r="K123" i="1" s="1"/>
  <c r="M122" i="1"/>
  <c r="M123" i="1" s="1"/>
  <c r="D117" i="1"/>
  <c r="D120" i="1" s="1"/>
  <c r="D85" i="1"/>
  <c r="K10" i="3"/>
  <c r="I2" i="4"/>
  <c r="I9" i="4" s="1"/>
  <c r="I5" i="4"/>
  <c r="I14" i="4" s="1"/>
  <c r="I122" i="1"/>
  <c r="I123" i="1" s="1"/>
  <c r="G123" i="1"/>
  <c r="K5" i="4" l="1"/>
  <c r="K2" i="4"/>
  <c r="K9" i="4" s="1"/>
  <c r="M75" i="1"/>
  <c r="M52" i="1"/>
  <c r="B20" i="1"/>
  <c r="M104" i="1"/>
  <c r="L2" i="3"/>
  <c r="L13" i="3" s="1"/>
  <c r="M137" i="1"/>
  <c r="D146" i="1" s="1"/>
  <c r="M30" i="1"/>
  <c r="M116" i="1"/>
  <c r="G124" i="1"/>
  <c r="F10" i="4" s="1"/>
  <c r="G140" i="1"/>
  <c r="M124" i="1"/>
  <c r="L10" i="4" s="1"/>
  <c r="M140" i="1"/>
  <c r="I124" i="1"/>
  <c r="H10" i="4" s="1"/>
  <c r="I140" i="1"/>
  <c r="K124" i="1"/>
  <c r="J10" i="4" s="1"/>
  <c r="K140" i="1"/>
  <c r="F124" i="1"/>
  <c r="E10" i="4" s="1"/>
  <c r="F140" i="1"/>
  <c r="H140" i="1"/>
  <c r="H124" i="1"/>
  <c r="G10" i="4" s="1"/>
  <c r="I6" i="3"/>
  <c r="I11" i="3" s="1"/>
  <c r="J142" i="1"/>
  <c r="I7" i="3" s="1"/>
  <c r="I10" i="3" s="1"/>
  <c r="D122" i="1"/>
  <c r="D123" i="1" s="1"/>
  <c r="D6" i="3"/>
  <c r="D11" i="3" s="1"/>
  <c r="E142" i="1"/>
  <c r="D7" i="3" s="1"/>
  <c r="D10" i="3" s="1"/>
  <c r="L6" i="3" l="1"/>
  <c r="D23" i="1"/>
  <c r="L2" i="4"/>
  <c r="L5" i="4"/>
  <c r="D140" i="1"/>
  <c r="D124" i="1"/>
  <c r="C10" i="4" s="1"/>
  <c r="H6" i="3"/>
  <c r="H11" i="3" s="1"/>
  <c r="I142" i="1"/>
  <c r="H7" i="3" s="1"/>
  <c r="H10" i="3" s="1"/>
  <c r="E6" i="3"/>
  <c r="E11" i="3" s="1"/>
  <c r="F142" i="1"/>
  <c r="E7" i="3" s="1"/>
  <c r="E10" i="3" s="1"/>
  <c r="L11" i="3"/>
  <c r="M142" i="1"/>
  <c r="D24" i="1" s="1"/>
  <c r="J6" i="3"/>
  <c r="J11" i="3" s="1"/>
  <c r="K142" i="1"/>
  <c r="J7" i="3" s="1"/>
  <c r="J10" i="3" s="1"/>
  <c r="G6" i="3"/>
  <c r="G11" i="3" s="1"/>
  <c r="H142" i="1"/>
  <c r="G7" i="3" s="1"/>
  <c r="G10" i="3" s="1"/>
  <c r="F6" i="3"/>
  <c r="F11" i="3" s="1"/>
  <c r="G142" i="1"/>
  <c r="F7" i="3" s="1"/>
  <c r="F10" i="3" s="1"/>
  <c r="D25" i="1" l="1"/>
  <c r="L9" i="4"/>
  <c r="L14" i="4"/>
  <c r="L7" i="3"/>
  <c r="L10" i="3" s="1"/>
  <c r="D151" i="1"/>
  <c r="E151" i="1" s="1"/>
  <c r="C6" i="3"/>
  <c r="C11" i="3" s="1"/>
  <c r="D142" i="1"/>
  <c r="C7" i="3" s="1"/>
  <c r="C10" i="3" s="1"/>
  <c r="E24" i="1" l="1"/>
  <c r="E23" i="1" l="1"/>
  <c r="D61" i="1" l="1"/>
  <c r="D128" i="1"/>
  <c r="D130" i="1"/>
  <c r="D138" i="1" l="1"/>
  <c r="D131" i="1"/>
  <c r="D133" i="1"/>
  <c r="C3" i="4" s="1"/>
  <c r="C6" i="4" s="1"/>
  <c r="C11" i="4" l="1"/>
  <c r="C12" i="4" s="1"/>
  <c r="C15" i="4"/>
  <c r="D139" i="1"/>
  <c r="C5" i="3" s="1"/>
  <c r="C4" i="3"/>
  <c r="E61" i="1"/>
  <c r="E128" i="1"/>
  <c r="E129" i="1"/>
  <c r="E130" i="1" s="1"/>
  <c r="E133" i="1" l="1"/>
  <c r="D3" i="4" s="1"/>
  <c r="D6" i="4" s="1"/>
  <c r="E131" i="1"/>
  <c r="E138" i="1"/>
  <c r="E139" i="1" l="1"/>
  <c r="D5" i="3" s="1"/>
  <c r="D4" i="3"/>
  <c r="D15" i="4"/>
  <c r="D11" i="4"/>
  <c r="D12" i="4" s="1"/>
  <c r="F61" i="1"/>
  <c r="F128" i="1"/>
  <c r="F129" i="1" s="1"/>
  <c r="F130" i="1" s="1"/>
  <c r="F131" i="1" l="1"/>
  <c r="F133" i="1"/>
  <c r="E3" i="4" s="1"/>
  <c r="E6" i="4" s="1"/>
  <c r="F138" i="1"/>
  <c r="E4" i="3" l="1"/>
  <c r="F139" i="1"/>
  <c r="E5" i="3" s="1"/>
  <c r="E11" i="4"/>
  <c r="E12" i="4" s="1"/>
  <c r="E15" i="4"/>
  <c r="G61" i="1"/>
  <c r="G128" i="1"/>
  <c r="G129" i="1" s="1"/>
  <c r="G130" i="1" s="1"/>
  <c r="G133" i="1" l="1"/>
  <c r="F3" i="4" s="1"/>
  <c r="F6" i="4" s="1"/>
  <c r="G138" i="1"/>
  <c r="G131" i="1"/>
  <c r="F15" i="4" l="1"/>
  <c r="F11" i="4"/>
  <c r="F12" i="4" s="1"/>
  <c r="G139" i="1"/>
  <c r="F5" i="3" s="1"/>
  <c r="F4" i="3"/>
  <c r="H61" i="1"/>
  <c r="H128" i="1"/>
  <c r="H129" i="1" s="1"/>
  <c r="H130" i="1" s="1"/>
  <c r="H131" i="1" l="1"/>
  <c r="H138" i="1"/>
  <c r="H133" i="1"/>
  <c r="G3" i="4" s="1"/>
  <c r="G6" i="4" s="1"/>
  <c r="H139" i="1" l="1"/>
  <c r="G5" i="3" s="1"/>
  <c r="G4" i="3"/>
  <c r="G11" i="4"/>
  <c r="G12" i="4" s="1"/>
  <c r="G15" i="4"/>
  <c r="I61" i="1"/>
  <c r="I128" i="1"/>
  <c r="I129" i="1" s="1"/>
  <c r="I130" i="1" s="1"/>
  <c r="I133" i="1" l="1"/>
  <c r="H3" i="4" s="1"/>
  <c r="H6" i="4" s="1"/>
  <c r="I131" i="1"/>
  <c r="I138" i="1"/>
  <c r="H15" i="4" l="1"/>
  <c r="H11" i="4"/>
  <c r="H12" i="4" s="1"/>
  <c r="I139" i="1"/>
  <c r="H5" i="3" s="1"/>
  <c r="H4" i="3"/>
  <c r="J61" i="1"/>
  <c r="J128" i="1"/>
  <c r="J129" i="1"/>
  <c r="J130" i="1" s="1"/>
  <c r="J133" i="1" s="1"/>
  <c r="I3" i="4" s="1"/>
  <c r="I6" i="4" s="1"/>
  <c r="J131" i="1" l="1"/>
  <c r="J138" i="1"/>
  <c r="J139" i="1" l="1"/>
  <c r="I5" i="3" s="1"/>
  <c r="I4" i="3"/>
  <c r="I15" i="4"/>
  <c r="I11" i="4"/>
  <c r="I12" i="4" s="1"/>
  <c r="K61" i="1"/>
  <c r="K128" i="1"/>
  <c r="K129" i="1" s="1"/>
  <c r="K130" i="1" s="1"/>
  <c r="K138" i="1" l="1"/>
  <c r="K131" i="1"/>
  <c r="K133" i="1"/>
  <c r="J3" i="4" s="1"/>
  <c r="J6" i="4" s="1"/>
  <c r="J15" i="4" l="1"/>
  <c r="J11" i="4"/>
  <c r="J12" i="4" s="1"/>
  <c r="J4" i="3"/>
  <c r="K139" i="1"/>
  <c r="J5" i="3" s="1"/>
  <c r="L61" i="1"/>
  <c r="L128" i="1"/>
  <c r="L129" i="1" s="1"/>
  <c r="L130" i="1" s="1"/>
  <c r="L138" i="1" l="1"/>
  <c r="L133" i="1"/>
  <c r="K3" i="4" s="1"/>
  <c r="K6" i="4" s="1"/>
  <c r="L131" i="1"/>
  <c r="K15" i="4" l="1"/>
  <c r="K11" i="4"/>
  <c r="K12" i="4" s="1"/>
  <c r="L139" i="1"/>
  <c r="K5" i="3" s="1"/>
  <c r="K4" i="3"/>
  <c r="M61" i="1"/>
  <c r="M128" i="1"/>
  <c r="M129" i="1" s="1"/>
  <c r="M130" i="1" s="1"/>
  <c r="M138" i="1" l="1"/>
  <c r="M131" i="1"/>
  <c r="M133" i="1"/>
  <c r="L3" i="4" s="1"/>
  <c r="L6" i="4" s="1"/>
  <c r="L15" i="4" l="1"/>
  <c r="L11" i="4"/>
  <c r="L12" i="4" s="1"/>
  <c r="D21" i="1"/>
  <c r="E21" i="1" s="1"/>
  <c r="D147" i="1"/>
  <c r="E147" i="1" s="1"/>
  <c r="L4" i="3"/>
  <c r="M139" i="1"/>
  <c r="D148" i="1" l="1"/>
  <c r="D22" i="1"/>
  <c r="E22" i="1" s="1"/>
  <c r="L5" i="3"/>
  <c r="D149" i="1" l="1"/>
  <c r="E148" i="1"/>
  <c r="E14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Alec Lucas</author>
    <author>Paul Johnson</author>
  </authors>
  <commentList>
    <comment ref="D7" authorId="0" shapeId="0" xr:uid="{5E9DF709-6072-4A3D-9A1B-B0EC8890A2A0}">
      <text>
        <r>
          <rPr>
            <b/>
            <sz val="9"/>
            <color indexed="81"/>
            <rFont val="Tahoma"/>
            <family val="2"/>
          </rPr>
          <t>Alec Lucas:</t>
        </r>
        <r>
          <rPr>
            <sz val="9"/>
            <color indexed="81"/>
            <rFont val="Tahoma"/>
            <family val="2"/>
          </rPr>
          <t xml:space="preserve">
Input.</t>
        </r>
      </text>
    </comment>
    <comment ref="B8" authorId="0" shapeId="0" xr:uid="{66916D86-930C-443D-AB50-1E7F5094A746}">
      <text>
        <r>
          <rPr>
            <b/>
            <sz val="9"/>
            <color indexed="81"/>
            <rFont val="Tahoma"/>
            <family val="2"/>
          </rPr>
          <t>Alec Lucas:</t>
        </r>
        <r>
          <rPr>
            <sz val="9"/>
            <color indexed="81"/>
            <rFont val="Tahoma"/>
            <family val="2"/>
          </rPr>
          <t xml:space="preserve">
Connected to Chart titles.
</t>
        </r>
      </text>
    </comment>
    <comment ref="B9" authorId="1" shapeId="0" xr:uid="{A9479DF7-46FC-4679-98A8-F704C7903077}">
      <text>
        <r>
          <rPr>
            <b/>
            <sz val="9"/>
            <color indexed="81"/>
            <rFont val="Tahoma"/>
            <family val="2"/>
          </rPr>
          <t>Paul Johnson:</t>
        </r>
        <r>
          <rPr>
            <sz val="9"/>
            <color indexed="81"/>
            <rFont val="Tahoma"/>
            <family val="2"/>
          </rPr>
          <t xml:space="preserve">
The closing price the day after the company reports it fiscal year end financial results
</t>
        </r>
      </text>
    </comment>
    <comment ref="O21" authorId="1" shapeId="0" xr:uid="{FB52C8F4-D19D-4F26-B483-1BFE2CB6B072}">
      <text>
        <r>
          <rPr>
            <b/>
            <sz val="9"/>
            <color indexed="81"/>
            <rFont val="Tahoma"/>
            <family val="2"/>
          </rPr>
          <t>Paul Johnson:</t>
        </r>
        <r>
          <rPr>
            <sz val="9"/>
            <color indexed="81"/>
            <rFont val="Tahoma"/>
            <family val="2"/>
          </rPr>
          <t xml:space="preserve">
As of most recent 10Q/10K</t>
        </r>
      </text>
    </comment>
    <comment ref="B32" authorId="0" shapeId="0" xr:uid="{603EA2BC-8934-42A5-AE25-EF5103347780}">
      <text>
        <r>
          <rPr>
            <b/>
            <sz val="9"/>
            <color indexed="81"/>
            <rFont val="Tahoma"/>
            <family val="2"/>
          </rPr>
          <t>Alec Lucas:</t>
        </r>
        <r>
          <rPr>
            <sz val="9"/>
            <color indexed="81"/>
            <rFont val="Tahoma"/>
            <family val="2"/>
          </rPr>
          <t xml:space="preserve">
COGS should be negative</t>
        </r>
      </text>
    </comment>
    <comment ref="B41" authorId="1" shapeId="0" xr:uid="{100BB076-C4D6-4F51-8279-E5C9BD19EF83}">
      <text>
        <r>
          <rPr>
            <b/>
            <sz val="9"/>
            <color indexed="81"/>
            <rFont val="Tahoma"/>
            <family val="2"/>
          </rPr>
          <t>Paul Johnson:</t>
        </r>
        <r>
          <rPr>
            <sz val="9"/>
            <color indexed="81"/>
            <rFont val="Tahoma"/>
            <family val="2"/>
          </rPr>
          <t xml:space="preserve">
Fees are negative (reversed sign to comply with formula) for EBIT</t>
        </r>
      </text>
    </comment>
    <comment ref="B106" authorId="0" shapeId="0" xr:uid="{933B753E-1176-4739-B670-1CA6D0CF0405}">
      <text>
        <r>
          <rPr>
            <b/>
            <sz val="9"/>
            <color indexed="81"/>
            <rFont val="Tahoma"/>
            <family val="2"/>
          </rPr>
          <t>Alec Lucas:</t>
        </r>
        <r>
          <rPr>
            <sz val="9"/>
            <color indexed="81"/>
            <rFont val="Tahoma"/>
            <family val="2"/>
          </rPr>
          <t xml:space="preserve">
CapEx should be positive</t>
        </r>
      </text>
    </comment>
    <comment ref="B111" authorId="0" shapeId="0" xr:uid="{DC83CA7F-B5A5-4F14-B87A-26B45C705400}">
      <text>
        <r>
          <rPr>
            <b/>
            <sz val="9"/>
            <color indexed="81"/>
            <rFont val="Tahoma"/>
            <family val="2"/>
          </rPr>
          <t>Alec Lucas:</t>
        </r>
        <r>
          <rPr>
            <sz val="9"/>
            <color indexed="81"/>
            <rFont val="Tahoma"/>
            <family val="2"/>
          </rPr>
          <t xml:space="preserve">
Accumulated Depreciation should be positive</t>
        </r>
      </text>
    </comment>
  </commentList>
</comments>
</file>

<file path=xl/sharedStrings.xml><?xml version="1.0" encoding="utf-8"?>
<sst xmlns="http://schemas.openxmlformats.org/spreadsheetml/2006/main" count="141" uniqueCount="113">
  <si>
    <t>Fiscal Year</t>
  </si>
  <si>
    <t xml:space="preserve">Shares Outstanding </t>
  </si>
  <si>
    <t>Market Cap</t>
  </si>
  <si>
    <t>Enterprise Value</t>
  </si>
  <si>
    <t>EV/share</t>
  </si>
  <si>
    <t>Net Income</t>
  </si>
  <si>
    <t>Earnings Power Value</t>
  </si>
  <si>
    <t>Invested Capital</t>
  </si>
  <si>
    <t>Net Debt</t>
  </si>
  <si>
    <t>Market implied value of growth</t>
  </si>
  <si>
    <t>EV/Share</t>
  </si>
  <si>
    <t>Income Statement</t>
  </si>
  <si>
    <t xml:space="preserve">    Gross Profit</t>
  </si>
  <si>
    <t>GPM</t>
  </si>
  <si>
    <t>Operating Expenses (SG&amp;A)</t>
  </si>
  <si>
    <t>Operating Profit</t>
  </si>
  <si>
    <t>OPM</t>
  </si>
  <si>
    <t>Interest and other income</t>
  </si>
  <si>
    <t>Income Before Taxes</t>
  </si>
  <si>
    <t>Taxes</t>
  </si>
  <si>
    <t>Rate</t>
  </si>
  <si>
    <t>Margin</t>
  </si>
  <si>
    <t>Balance Sheet</t>
  </si>
  <si>
    <t>Cash + Cash Equivalents</t>
  </si>
  <si>
    <t>Inventories</t>
  </si>
  <si>
    <t>A/R</t>
  </si>
  <si>
    <t>Total Current Assets</t>
  </si>
  <si>
    <t>PP&amp;E</t>
  </si>
  <si>
    <t>Total Assets</t>
  </si>
  <si>
    <t>A/P</t>
  </si>
  <si>
    <t>Other Current Liabilities</t>
  </si>
  <si>
    <t>Total Current Liabilities</t>
  </si>
  <si>
    <t>Total Liabilities</t>
  </si>
  <si>
    <t>Book Value</t>
  </si>
  <si>
    <t>Intangible Assets &amp;/or GW</t>
  </si>
  <si>
    <t>*Tangible Book Value</t>
  </si>
  <si>
    <t>EBITDA Build-up</t>
  </si>
  <si>
    <t>D&amp;A</t>
  </si>
  <si>
    <t>EBITDA</t>
  </si>
  <si>
    <t xml:space="preserve">    Margin</t>
  </si>
  <si>
    <t>Non-operating / One Time Items</t>
  </si>
  <si>
    <t>EBITDA (adjusted)</t>
  </si>
  <si>
    <t xml:space="preserve">    Margin (adjusted)</t>
  </si>
  <si>
    <t>Free Cash Flow Maintenance</t>
  </si>
  <si>
    <t xml:space="preserve"> </t>
  </si>
  <si>
    <t>Operating Profit After Tax</t>
  </si>
  <si>
    <t>Plus: D&amp;A</t>
  </si>
  <si>
    <t>Less: Capex Maint</t>
  </si>
  <si>
    <t>NOPAT</t>
  </si>
  <si>
    <t>WACC</t>
  </si>
  <si>
    <t>EPV</t>
  </si>
  <si>
    <t>Shares Outstanding</t>
  </si>
  <si>
    <t>Per Share</t>
  </si>
  <si>
    <t>Depreciation</t>
  </si>
  <si>
    <t>CapEx</t>
  </si>
  <si>
    <t>Maintenance CapEx</t>
  </si>
  <si>
    <t>Growth CapEx</t>
  </si>
  <si>
    <t>Total PP&amp;E</t>
  </si>
  <si>
    <t>Less: accumulated depreciation</t>
  </si>
  <si>
    <t>Maint. Capex</t>
  </si>
  <si>
    <t>Pre-tax</t>
  </si>
  <si>
    <t xml:space="preserve">    tax rate</t>
  </si>
  <si>
    <t xml:space="preserve">    taxes</t>
  </si>
  <si>
    <t>NOPAT (implied)</t>
  </si>
  <si>
    <t xml:space="preserve">    % margin</t>
  </si>
  <si>
    <t xml:space="preserve">    Current Liabilities</t>
  </si>
  <si>
    <t>CA - CL</t>
  </si>
  <si>
    <t>Total IC</t>
  </si>
  <si>
    <t>ROIC</t>
  </si>
  <si>
    <t>Invested capital</t>
  </si>
  <si>
    <t>EV</t>
  </si>
  <si>
    <t>Enterprise Value (EV)</t>
  </si>
  <si>
    <t>Market Implied value of NOPAT growth</t>
  </si>
  <si>
    <t>ROIC Equations</t>
  </si>
  <si>
    <t>Which is equal to:</t>
  </si>
  <si>
    <t>(EBITDA - Maintence Capex - Taxes)</t>
  </si>
  <si>
    <t>PP&amp;E + Net Working Capital</t>
  </si>
  <si>
    <t>Chart Names</t>
  </si>
  <si>
    <t>Top Left</t>
  </si>
  <si>
    <t>Top Right</t>
  </si>
  <si>
    <t>Mid Right:</t>
  </si>
  <si>
    <r>
      <t xml:space="preserve">All amounts in Millions except per share data </t>
    </r>
    <r>
      <rPr>
        <sz val="11"/>
        <color rgb="FF0070C0"/>
        <rFont val="Calibri"/>
        <family val="2"/>
        <scheme val="minor"/>
      </rPr>
      <t>(inputs in blue)</t>
    </r>
  </si>
  <si>
    <t>Bottom Right</t>
  </si>
  <si>
    <t>Top Middle</t>
  </si>
  <si>
    <t>Mid Left:</t>
  </si>
  <si>
    <t>Bottom Left</t>
  </si>
  <si>
    <t>Rev / Total IC (Scale)</t>
  </si>
  <si>
    <t>Minority Interest in Earnings</t>
  </si>
  <si>
    <t>PV of Comp Advantage</t>
  </si>
  <si>
    <t>Share Price:</t>
  </si>
  <si>
    <t>Less: Cash</t>
  </si>
  <si>
    <t>Plus: Debt</t>
  </si>
  <si>
    <r>
      <t>Book Value (Equity</t>
    </r>
    <r>
      <rPr>
        <sz val="11"/>
        <color theme="1"/>
        <rFont val="Calibri"/>
        <family val="2"/>
        <scheme val="minor"/>
      </rPr>
      <t>)</t>
    </r>
  </si>
  <si>
    <t>Share price date</t>
  </si>
  <si>
    <t>SHAK - scale</t>
  </si>
  <si>
    <t>CMG - scale</t>
  </si>
  <si>
    <t>MCD - scale</t>
  </si>
  <si>
    <t>SHAK - operating margin</t>
  </si>
  <si>
    <t>CMG operating margin</t>
  </si>
  <si>
    <t>MCD - operating margin</t>
  </si>
  <si>
    <t>Cost of Capital</t>
  </si>
  <si>
    <t>Present value of competitive advantage</t>
  </si>
  <si>
    <t>Revenue</t>
  </si>
  <si>
    <t>% margin</t>
  </si>
  <si>
    <t>Scale</t>
  </si>
  <si>
    <t>Operating Margin</t>
  </si>
  <si>
    <t>Company name</t>
  </si>
  <si>
    <t>Company symbol</t>
  </si>
  <si>
    <t>COGS</t>
  </si>
  <si>
    <t>% of EV</t>
  </si>
  <si>
    <t>PP&amp;E + Operating Lease</t>
  </si>
  <si>
    <t>Long-Term Debt + Operating Lease</t>
  </si>
  <si>
    <t xml:space="preserve">    Current Assets, net Cash &amp; Equivalents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</si>
</sst>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\x"/>
    <numFmt numFmtId="165" formatCode="_(&quot;$&quot;* #,##0.0_);_(&quot;$&quot;* \(#,##0.0\);_(&quot;$&quot;* &quot;-&quot;??_);_(@_)"/>
    <numFmt numFmtId="166" formatCode="_(&quot;$&quot;* #,##0.0_);_(&quot;$&quot;* \(#,##0.0\);_(&quot;$&quot;* &quot;-&quot;_);_(@_)"/>
    <numFmt numFmtId="167" formatCode="_(* #,##0.0_);_(* \(#,##0.0\);_(* &quot;-&quot;??_);_(@_)"/>
    <numFmt numFmtId="168" formatCode="0.0%"/>
    <numFmt numFmtId="169" formatCode="0.0"/>
    <numFmt numFmtId="170" formatCode="&quot;$&quot;#,##0.00"/>
    <numFmt numFmtId="171" formatCode="_(* #,##0.0_);_(* \(#,##0.0\);_(* &quot;-&quot;?_);_(@_)"/>
    <numFmt numFmtId="172" formatCode="_(* #,##0.00_);_(* \(#,##0.00\);_(* &quot;-&quot;_);_(@_)"/>
    <numFmt numFmtId="173" formatCode="_(* #,##0_);_(* \(#,##0\);_(* &quot;-&quot;??_);_(@_)"/>
    <numFmt numFmtId="174" formatCode="&quot;$&quot;#,##0.0"/>
    <numFmt numFmtId="175" formatCode="_(&quot;$&quot;* #,##0_);_(&quot;$&quot;* \(#,##0\);_(&quot;$&quot;* &quot;-&quot;??_);_(@_)"/>
    <numFmt numFmtId="176" formatCode="&quot;$&quot;#,##0"/>
  </numFmts>
  <fonts count="50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0" tint="-0.499984740745262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 val="singleAccounting"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u val="singleAccounting"/>
      <sz val="11"/>
      <color rgb="FF0070C0"/>
      <name val="Calibri"/>
      <family val="2"/>
      <scheme val="minor"/>
    </font>
    <font>
      <u/>
      <sz val="11"/>
      <color rgb="FF00B050"/>
      <name val="Calibri"/>
      <family val="2"/>
      <scheme val="minor"/>
    </font>
    <font>
      <u val="singleAccounting"/>
      <sz val="11"/>
      <color theme="0" tint="-0.499984740745262"/>
      <name val="Calibri"/>
      <family val="2"/>
      <scheme val="minor"/>
    </font>
    <font>
      <u/>
      <sz val="11"/>
      <color theme="0" tint="-0.499984740745262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1"/>
      <color rgb="FFFF5656"/>
      <name val="Calibri"/>
      <family val="2"/>
      <scheme val="minor"/>
    </font>
    <font>
      <sz val="11"/>
      <color rgb="FF0091FF"/>
      <name val="Calibri"/>
      <family val="2"/>
      <scheme val="minor"/>
    </font>
    <font>
      <u val="singleAccounting"/>
      <sz val="11"/>
      <color rgb="FF0091FF"/>
      <name val="Calibri"/>
      <family val="2"/>
      <scheme val="minor"/>
    </font>
    <font>
      <sz val="11"/>
      <color rgb="FF55AB55"/>
      <name val="Calibri"/>
      <family val="2"/>
      <scheme val="minor"/>
    </font>
    <font>
      <u/>
      <sz val="11"/>
      <color rgb="FF55AB55"/>
      <name val="Calibri"/>
      <family val="2"/>
      <scheme val="minor"/>
    </font>
    <font>
      <u val="singleAccounting"/>
      <sz val="11"/>
      <color rgb="FF55AB55"/>
      <name val="Calibri"/>
      <family val="2"/>
      <scheme val="minor"/>
    </font>
    <font>
      <sz val="11"/>
      <color rgb="FF2F5597"/>
      <name val="Calibri"/>
      <family val="2"/>
      <scheme val="minor"/>
    </font>
    <font>
      <b/>
      <sz val="11"/>
      <color rgb="FF3B3838"/>
      <name val="Calibri"/>
      <family val="2"/>
      <scheme val="minor"/>
    </font>
    <font>
      <sz val="11"/>
      <color rgb="FF3B3838"/>
      <name val="Calibri"/>
      <family val="2"/>
      <scheme val="minor"/>
    </font>
    <font>
      <i/>
      <sz val="11"/>
      <color rgb="FFF216B1"/>
      <name val="Calibri"/>
      <family val="2"/>
      <scheme val="minor"/>
    </font>
    <font>
      <sz val="11"/>
      <color rgb="FFF216B1"/>
      <name val="Calibri"/>
      <family val="2"/>
      <scheme val="minor"/>
    </font>
    <font>
      <i/>
      <sz val="11"/>
      <color rgb="FF1402F9"/>
      <name val="Calibri"/>
      <family val="2"/>
      <scheme val="minor"/>
    </font>
    <font>
      <sz val="11"/>
      <color rgb="FF1402F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auto="1"/>
      </right>
      <top/>
      <bottom/>
      <diagonal/>
    </border>
  </borders>
  <cellStyleXfs count="5">
    <xf numFmtId="0" fontId="0" fillId="0" borderId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1" fillId="0" borderId="0"/>
  </cellStyleXfs>
  <cellXfs count="333">
    <xf numFmtId="0" fontId="0" fillId="0" borderId="0" xfId="0"/>
    <xf numFmtId="0" fontId="17" fillId="0" borderId="0" xfId="0" applyFont="1"/>
    <xf numFmtId="0" fontId="11" fillId="0" borderId="0" xfId="0" applyFont="1"/>
    <xf numFmtId="0" fontId="11" fillId="0" borderId="1" xfId="0" applyFont="1" applyBorder="1" applyAlignment="1">
      <alignment horizontal="left"/>
    </xf>
    <xf numFmtId="0" fontId="11" fillId="0" borderId="1" xfId="0" applyFont="1" applyBorder="1"/>
    <xf numFmtId="0" fontId="11" fillId="0" borderId="0" xfId="0" applyFont="1" applyAlignment="1">
      <alignment horizontal="centerContinuous"/>
    </xf>
    <xf numFmtId="0" fontId="11" fillId="0" borderId="0" xfId="0" applyFont="1" applyAlignment="1">
      <alignment horizontal="left"/>
    </xf>
    <xf numFmtId="0" fontId="21" fillId="0" borderId="0" xfId="0" applyFont="1" applyAlignment="1">
      <alignment horizontal="right"/>
    </xf>
    <xf numFmtId="0" fontId="11" fillId="2" borderId="0" xfId="0" applyFont="1" applyFill="1"/>
    <xf numFmtId="0" fontId="11" fillId="0" borderId="5" xfId="0" applyFont="1" applyBorder="1"/>
    <xf numFmtId="14" fontId="19" fillId="0" borderId="0" xfId="0" applyNumberFormat="1" applyFont="1"/>
    <xf numFmtId="0" fontId="19" fillId="0" borderId="0" xfId="0" applyFont="1"/>
    <xf numFmtId="174" fontId="17" fillId="0" borderId="0" xfId="0" applyNumberFormat="1" applyFont="1"/>
    <xf numFmtId="174" fontId="19" fillId="0" borderId="2" xfId="0" applyNumberFormat="1" applyFont="1" applyBorder="1"/>
    <xf numFmtId="174" fontId="19" fillId="2" borderId="2" xfId="0" applyNumberFormat="1" applyFont="1" applyFill="1" applyBorder="1"/>
    <xf numFmtId="174" fontId="19" fillId="0" borderId="0" xfId="2" applyNumberFormat="1" applyFont="1" applyFill="1"/>
    <xf numFmtId="174" fontId="19" fillId="2" borderId="0" xfId="2" applyNumberFormat="1" applyFont="1" applyFill="1"/>
    <xf numFmtId="174" fontId="22" fillId="0" borderId="0" xfId="2" applyNumberFormat="1" applyFont="1" applyFill="1"/>
    <xf numFmtId="174" fontId="22" fillId="2" borderId="0" xfId="2" applyNumberFormat="1" applyFont="1" applyFill="1"/>
    <xf numFmtId="174" fontId="11" fillId="0" borderId="0" xfId="0" applyNumberFormat="1" applyFont="1"/>
    <xf numFmtId="174" fontId="11" fillId="2" borderId="0" xfId="0" applyNumberFormat="1" applyFont="1" applyFill="1"/>
    <xf numFmtId="174" fontId="11" fillId="0" borderId="0" xfId="2" applyNumberFormat="1" applyFont="1" applyFill="1"/>
    <xf numFmtId="174" fontId="11" fillId="2" borderId="0" xfId="2" applyNumberFormat="1" applyFont="1" applyFill="1"/>
    <xf numFmtId="0" fontId="11" fillId="0" borderId="6" xfId="0" applyFont="1" applyBorder="1"/>
    <xf numFmtId="166" fontId="11" fillId="0" borderId="0" xfId="2" applyNumberFormat="1" applyFont="1" applyFill="1"/>
    <xf numFmtId="167" fontId="11" fillId="0" borderId="0" xfId="1" applyNumberFormat="1" applyFont="1" applyFill="1"/>
    <xf numFmtId="44" fontId="11" fillId="0" borderId="0" xfId="2" applyFont="1" applyFill="1"/>
    <xf numFmtId="168" fontId="11" fillId="0" borderId="6" xfId="3" applyNumberFormat="1" applyFont="1" applyBorder="1"/>
    <xf numFmtId="0" fontId="23" fillId="0" borderId="0" xfId="0" applyFont="1"/>
    <xf numFmtId="169" fontId="22" fillId="0" borderId="0" xfId="0" applyNumberFormat="1" applyFont="1"/>
    <xf numFmtId="167" fontId="22" fillId="0" borderId="0" xfId="1" applyNumberFormat="1" applyFont="1" applyFill="1"/>
    <xf numFmtId="0" fontId="11" fillId="0" borderId="7" xfId="0" applyFont="1" applyBorder="1"/>
    <xf numFmtId="0" fontId="11" fillId="0" borderId="8" xfId="0" applyFont="1" applyBorder="1"/>
    <xf numFmtId="170" fontId="11" fillId="0" borderId="9" xfId="0" applyNumberFormat="1" applyFont="1" applyBorder="1"/>
    <xf numFmtId="43" fontId="11" fillId="0" borderId="0" xfId="1" applyFont="1"/>
    <xf numFmtId="0" fontId="19" fillId="0" borderId="0" xfId="0" applyFont="1" applyAlignment="1">
      <alignment horizontal="center"/>
    </xf>
    <xf numFmtId="166" fontId="12" fillId="0" borderId="0" xfId="0" applyNumberFormat="1" applyFont="1"/>
    <xf numFmtId="167" fontId="12" fillId="0" borderId="0" xfId="1" applyNumberFormat="1" applyFont="1" applyFill="1" applyBorder="1"/>
    <xf numFmtId="0" fontId="11" fillId="0" borderId="0" xfId="0" quotePrefix="1" applyFont="1"/>
    <xf numFmtId="166" fontId="22" fillId="0" borderId="2" xfId="0" applyNumberFormat="1" applyFont="1" applyBorder="1"/>
    <xf numFmtId="166" fontId="22" fillId="2" borderId="2" xfId="0" applyNumberFormat="1" applyFont="1" applyFill="1" applyBorder="1"/>
    <xf numFmtId="166" fontId="11" fillId="0" borderId="2" xfId="0" applyNumberFormat="1" applyFont="1" applyBorder="1"/>
    <xf numFmtId="166" fontId="11" fillId="2" borderId="2" xfId="0" applyNumberFormat="1" applyFont="1" applyFill="1" applyBorder="1"/>
    <xf numFmtId="166" fontId="11" fillId="0" borderId="0" xfId="0" applyNumberFormat="1" applyFont="1"/>
    <xf numFmtId="0" fontId="25" fillId="0" borderId="0" xfId="0" applyFont="1"/>
    <xf numFmtId="168" fontId="26" fillId="0" borderId="0" xfId="0" applyNumberFormat="1" applyFont="1"/>
    <xf numFmtId="168" fontId="26" fillId="2" borderId="0" xfId="0" applyNumberFormat="1" applyFont="1" applyFill="1"/>
    <xf numFmtId="168" fontId="25" fillId="0" borderId="0" xfId="0" applyNumberFormat="1" applyFont="1"/>
    <xf numFmtId="168" fontId="25" fillId="2" borderId="0" xfId="0" applyNumberFormat="1" applyFont="1" applyFill="1"/>
    <xf numFmtId="0" fontId="22" fillId="0" borderId="0" xfId="0" applyFont="1"/>
    <xf numFmtId="0" fontId="22" fillId="2" borderId="0" xfId="0" applyFont="1" applyFill="1"/>
    <xf numFmtId="167" fontId="12" fillId="0" borderId="0" xfId="1" applyNumberFormat="1" applyFont="1" applyFill="1"/>
    <xf numFmtId="167" fontId="12" fillId="2" borderId="0" xfId="1" applyNumberFormat="1" applyFont="1" applyFill="1"/>
    <xf numFmtId="167" fontId="22" fillId="2" borderId="0" xfId="1" applyNumberFormat="1" applyFont="1" applyFill="1"/>
    <xf numFmtId="167" fontId="22" fillId="0" borderId="0" xfId="1" applyNumberFormat="1" applyFont="1" applyFill="1" applyBorder="1"/>
    <xf numFmtId="167" fontId="22" fillId="0" borderId="0" xfId="0" applyNumberFormat="1" applyFont="1"/>
    <xf numFmtId="167" fontId="22" fillId="2" borderId="0" xfId="0" applyNumberFormat="1" applyFont="1" applyFill="1"/>
    <xf numFmtId="171" fontId="11" fillId="0" borderId="0" xfId="0" applyNumberFormat="1" applyFont="1"/>
    <xf numFmtId="171" fontId="11" fillId="2" borderId="0" xfId="0" applyNumberFormat="1" applyFont="1" applyFill="1"/>
    <xf numFmtId="165" fontId="12" fillId="0" borderId="0" xfId="2" applyNumberFormat="1" applyFont="1" applyFill="1"/>
    <xf numFmtId="165" fontId="12" fillId="2" borderId="0" xfId="2" applyNumberFormat="1" applyFont="1" applyFill="1"/>
    <xf numFmtId="165" fontId="12" fillId="0" borderId="0" xfId="2" applyNumberFormat="1" applyFont="1" applyFill="1" applyBorder="1"/>
    <xf numFmtId="166" fontId="11" fillId="2" borderId="0" xfId="0" applyNumberFormat="1" applyFont="1" applyFill="1"/>
    <xf numFmtId="10" fontId="27" fillId="0" borderId="0" xfId="3" applyNumberFormat="1" applyFont="1"/>
    <xf numFmtId="166" fontId="19" fillId="0" borderId="0" xfId="0" applyNumberFormat="1" applyFont="1"/>
    <xf numFmtId="166" fontId="19" fillId="2" borderId="0" xfId="0" applyNumberFormat="1" applyFont="1" applyFill="1"/>
    <xf numFmtId="42" fontId="11" fillId="0" borderId="0" xfId="0" applyNumberFormat="1" applyFont="1"/>
    <xf numFmtId="166" fontId="12" fillId="2" borderId="0" xfId="0" applyNumberFormat="1" applyFont="1" applyFill="1"/>
    <xf numFmtId="166" fontId="22" fillId="0" borderId="0" xfId="0" applyNumberFormat="1" applyFont="1"/>
    <xf numFmtId="166" fontId="22" fillId="2" borderId="0" xfId="0" applyNumberFormat="1" applyFont="1" applyFill="1"/>
    <xf numFmtId="165" fontId="11" fillId="0" borderId="0" xfId="2" applyNumberFormat="1" applyFont="1"/>
    <xf numFmtId="165" fontId="11" fillId="2" borderId="0" xfId="2" applyNumberFormat="1" applyFont="1" applyFill="1"/>
    <xf numFmtId="165" fontId="11" fillId="0" borderId="0" xfId="2" applyNumberFormat="1" applyFont="1" applyFill="1"/>
    <xf numFmtId="166" fontId="21" fillId="0" borderId="0" xfId="0" applyNumberFormat="1" applyFont="1"/>
    <xf numFmtId="166" fontId="21" fillId="2" borderId="0" xfId="0" applyNumberFormat="1" applyFont="1" applyFill="1"/>
    <xf numFmtId="0" fontId="29" fillId="0" borderId="0" xfId="0" applyFont="1"/>
    <xf numFmtId="166" fontId="19" fillId="0" borderId="2" xfId="0" applyNumberFormat="1" applyFont="1" applyBorder="1"/>
    <xf numFmtId="166" fontId="19" fillId="2" borderId="2" xfId="0" applyNumberFormat="1" applyFont="1" applyFill="1" applyBorder="1"/>
    <xf numFmtId="0" fontId="25" fillId="0" borderId="0" xfId="0" quotePrefix="1" applyFont="1"/>
    <xf numFmtId="167" fontId="11" fillId="0" borderId="0" xfId="1" applyNumberFormat="1" applyFont="1"/>
    <xf numFmtId="167" fontId="11" fillId="2" borderId="0" xfId="1" applyNumberFormat="1" applyFont="1" applyFill="1"/>
    <xf numFmtId="168" fontId="11" fillId="0" borderId="0" xfId="3" applyNumberFormat="1" applyFont="1" applyBorder="1"/>
    <xf numFmtId="168" fontId="11" fillId="2" borderId="0" xfId="3" applyNumberFormat="1" applyFont="1" applyFill="1" applyBorder="1"/>
    <xf numFmtId="168" fontId="11" fillId="0" borderId="0" xfId="3" applyNumberFormat="1" applyFont="1" applyFill="1" applyBorder="1"/>
    <xf numFmtId="0" fontId="19" fillId="0" borderId="3" xfId="0" applyFont="1" applyBorder="1"/>
    <xf numFmtId="170" fontId="11" fillId="0" borderId="4" xfId="0" applyNumberFormat="1" applyFont="1" applyBorder="1"/>
    <xf numFmtId="0" fontId="17" fillId="0" borderId="5" xfId="0" applyFont="1" applyBorder="1"/>
    <xf numFmtId="168" fontId="12" fillId="0" borderId="6" xfId="0" applyNumberFormat="1" applyFont="1" applyBorder="1"/>
    <xf numFmtId="172" fontId="11" fillId="0" borderId="6" xfId="0" applyNumberFormat="1" applyFont="1" applyBorder="1"/>
    <xf numFmtId="0" fontId="19" fillId="0" borderId="7" xfId="0" applyFont="1" applyBorder="1"/>
    <xf numFmtId="0" fontId="11" fillId="0" borderId="0" xfId="0" applyFont="1" applyAlignment="1">
      <alignment horizontal="right"/>
    </xf>
    <xf numFmtId="166" fontId="12" fillId="2" borderId="0" xfId="3" applyNumberFormat="1" applyFont="1" applyFill="1"/>
    <xf numFmtId="166" fontId="12" fillId="0" borderId="0" xfId="3" applyNumberFormat="1" applyFont="1"/>
    <xf numFmtId="0" fontId="12" fillId="0" borderId="0" xfId="0" applyFont="1"/>
    <xf numFmtId="0" fontId="19" fillId="0" borderId="0" xfId="0" applyFont="1" applyAlignment="1">
      <alignment horizontal="right"/>
    </xf>
    <xf numFmtId="166" fontId="12" fillId="0" borderId="10" xfId="0" applyNumberFormat="1" applyFont="1" applyBorder="1"/>
    <xf numFmtId="166" fontId="12" fillId="2" borderId="10" xfId="0" applyNumberFormat="1" applyFont="1" applyFill="1" applyBorder="1"/>
    <xf numFmtId="4" fontId="11" fillId="0" borderId="0" xfId="0" applyNumberFormat="1" applyFont="1"/>
    <xf numFmtId="4" fontId="29" fillId="0" borderId="0" xfId="0" applyNumberFormat="1" applyFont="1"/>
    <xf numFmtId="42" fontId="11" fillId="0" borderId="5" xfId="0" applyNumberFormat="1" applyFont="1" applyBorder="1"/>
    <xf numFmtId="166" fontId="11" fillId="0" borderId="8" xfId="0" applyNumberFormat="1" applyFont="1" applyBorder="1"/>
    <xf numFmtId="166" fontId="11" fillId="2" borderId="8" xfId="0" applyNumberFormat="1" applyFont="1" applyFill="1" applyBorder="1"/>
    <xf numFmtId="166" fontId="11" fillId="0" borderId="10" xfId="0" applyNumberFormat="1" applyFont="1" applyBorder="1"/>
    <xf numFmtId="166" fontId="11" fillId="2" borderId="10" xfId="0" applyNumberFormat="1" applyFont="1" applyFill="1" applyBorder="1"/>
    <xf numFmtId="42" fontId="11" fillId="0" borderId="6" xfId="0" applyNumberFormat="1" applyFont="1" applyBorder="1"/>
    <xf numFmtId="168" fontId="11" fillId="0" borderId="0" xfId="3" applyNumberFormat="1" applyFont="1" applyFill="1"/>
    <xf numFmtId="168" fontId="11" fillId="2" borderId="0" xfId="3" applyNumberFormat="1" applyFont="1" applyFill="1"/>
    <xf numFmtId="166" fontId="11" fillId="0" borderId="8" xfId="1" applyNumberFormat="1" applyFont="1" applyBorder="1"/>
    <xf numFmtId="166" fontId="11" fillId="2" borderId="8" xfId="1" applyNumberFormat="1" applyFont="1" applyFill="1" applyBorder="1"/>
    <xf numFmtId="166" fontId="11" fillId="0" borderId="0" xfId="1" applyNumberFormat="1" applyFont="1" applyFill="1" applyBorder="1"/>
    <xf numFmtId="168" fontId="11" fillId="0" borderId="0" xfId="3" applyNumberFormat="1" applyFont="1"/>
    <xf numFmtId="0" fontId="11" fillId="0" borderId="9" xfId="0" applyFont="1" applyBorder="1"/>
    <xf numFmtId="10" fontId="11" fillId="0" borderId="0" xfId="0" applyNumberFormat="1" applyFont="1"/>
    <xf numFmtId="165" fontId="11" fillId="0" borderId="0" xfId="0" applyNumberFormat="1" applyFont="1"/>
    <xf numFmtId="0" fontId="19" fillId="3" borderId="11" xfId="0" applyFont="1" applyFill="1" applyBorder="1"/>
    <xf numFmtId="0" fontId="19" fillId="3" borderId="10" xfId="0" applyFont="1" applyFill="1" applyBorder="1"/>
    <xf numFmtId="168" fontId="19" fillId="3" borderId="10" xfId="0" applyNumberFormat="1" applyFont="1" applyFill="1" applyBorder="1"/>
    <xf numFmtId="168" fontId="19" fillId="3" borderId="12" xfId="0" applyNumberFormat="1" applyFont="1" applyFill="1" applyBorder="1"/>
    <xf numFmtId="168" fontId="19" fillId="0" borderId="0" xfId="0" applyNumberFormat="1" applyFont="1"/>
    <xf numFmtId="168" fontId="11" fillId="0" borderId="0" xfId="0" applyNumberFormat="1" applyFont="1"/>
    <xf numFmtId="0" fontId="11" fillId="0" borderId="0" xfId="0" applyFont="1" applyAlignment="1">
      <alignment wrapText="1"/>
    </xf>
    <xf numFmtId="166" fontId="31" fillId="0" borderId="0" xfId="0" applyNumberFormat="1" applyFont="1"/>
    <xf numFmtId="170" fontId="11" fillId="0" borderId="0" xfId="0" applyNumberFormat="1" applyFont="1"/>
    <xf numFmtId="166" fontId="32" fillId="0" borderId="0" xfId="0" applyNumberFormat="1" applyFont="1" applyAlignment="1">
      <alignment horizontal="right"/>
    </xf>
    <xf numFmtId="0" fontId="11" fillId="0" borderId="0" xfId="4"/>
    <xf numFmtId="166" fontId="11" fillId="0" borderId="0" xfId="0" applyNumberFormat="1" applyFont="1" applyAlignment="1">
      <alignment horizontal="right"/>
    </xf>
    <xf numFmtId="166" fontId="33" fillId="0" borderId="0" xfId="0" applyNumberFormat="1" applyFont="1" applyAlignment="1">
      <alignment horizontal="right"/>
    </xf>
    <xf numFmtId="170" fontId="11" fillId="0" borderId="0" xfId="2" applyNumberFormat="1" applyFont="1" applyBorder="1"/>
    <xf numFmtId="0" fontId="11" fillId="0" borderId="5" xfId="4" applyBorder="1"/>
    <xf numFmtId="168" fontId="11" fillId="0" borderId="9" xfId="3" applyNumberFormat="1" applyFont="1" applyBorder="1"/>
    <xf numFmtId="0" fontId="11" fillId="0" borderId="13" xfId="0" applyFont="1" applyBorder="1"/>
    <xf numFmtId="0" fontId="11" fillId="0" borderId="16" xfId="0" applyFont="1" applyBorder="1"/>
    <xf numFmtId="0" fontId="11" fillId="0" borderId="17" xfId="0" applyFont="1" applyBorder="1"/>
    <xf numFmtId="0" fontId="19" fillId="0" borderId="18" xfId="0" applyFont="1" applyBorder="1"/>
    <xf numFmtId="165" fontId="11" fillId="0" borderId="1" xfId="0" applyNumberFormat="1" applyFont="1" applyBorder="1"/>
    <xf numFmtId="165" fontId="11" fillId="0" borderId="19" xfId="0" applyNumberFormat="1" applyFont="1" applyBorder="1"/>
    <xf numFmtId="173" fontId="13" fillId="0" borderId="0" xfId="0" applyNumberFormat="1" applyFont="1"/>
    <xf numFmtId="165" fontId="22" fillId="0" borderId="0" xfId="2" applyNumberFormat="1" applyFont="1"/>
    <xf numFmtId="0" fontId="19" fillId="3" borderId="7" xfId="0" applyFont="1" applyFill="1" applyBorder="1" applyAlignment="1">
      <alignment horizontal="center"/>
    </xf>
    <xf numFmtId="0" fontId="19" fillId="3" borderId="5" xfId="0" applyFont="1" applyFill="1" applyBorder="1" applyAlignment="1">
      <alignment horizontal="center"/>
    </xf>
    <xf numFmtId="168" fontId="19" fillId="3" borderId="0" xfId="3" applyNumberFormat="1" applyFont="1" applyFill="1" applyBorder="1" applyAlignment="1">
      <alignment horizontal="center"/>
    </xf>
    <xf numFmtId="168" fontId="19" fillId="3" borderId="6" xfId="3" applyNumberFormat="1" applyFont="1" applyFill="1" applyBorder="1" applyAlignment="1">
      <alignment horizontal="center"/>
    </xf>
    <xf numFmtId="168" fontId="19" fillId="3" borderId="8" xfId="3" applyNumberFormat="1" applyFont="1" applyFill="1" applyBorder="1" applyAlignment="1">
      <alignment horizontal="center"/>
    </xf>
    <xf numFmtId="168" fontId="19" fillId="3" borderId="9" xfId="3" applyNumberFormat="1" applyFont="1" applyFill="1" applyBorder="1" applyAlignment="1">
      <alignment horizontal="center"/>
    </xf>
    <xf numFmtId="0" fontId="11" fillId="0" borderId="0" xfId="0" applyFont="1" applyAlignment="1">
      <alignment horizontal="left" indent="1"/>
    </xf>
    <xf numFmtId="165" fontId="16" fillId="0" borderId="0" xfId="0" applyNumberFormat="1" applyFont="1"/>
    <xf numFmtId="165" fontId="34" fillId="0" borderId="0" xfId="0" applyNumberFormat="1" applyFont="1" applyAlignment="1">
      <alignment horizontal="right"/>
    </xf>
    <xf numFmtId="165" fontId="16" fillId="0" borderId="0" xfId="0" applyNumberFormat="1" applyFont="1" applyAlignment="1">
      <alignment horizontal="right"/>
    </xf>
    <xf numFmtId="165" fontId="35" fillId="0" borderId="0" xfId="0" applyNumberFormat="1" applyFont="1" applyAlignment="1">
      <alignment horizontal="right"/>
    </xf>
    <xf numFmtId="0" fontId="16" fillId="0" borderId="0" xfId="0" applyFont="1"/>
    <xf numFmtId="0" fontId="16" fillId="0" borderId="0" xfId="4" applyFont="1"/>
    <xf numFmtId="0" fontId="36" fillId="0" borderId="0" xfId="0" applyFont="1"/>
    <xf numFmtId="0" fontId="27" fillId="0" borderId="0" xfId="0" applyFont="1"/>
    <xf numFmtId="0" fontId="11" fillId="4" borderId="0" xfId="0" applyFont="1" applyFill="1"/>
    <xf numFmtId="0" fontId="11" fillId="5" borderId="0" xfId="0" applyFont="1" applyFill="1"/>
    <xf numFmtId="0" fontId="19" fillId="0" borderId="9" xfId="0" applyFont="1" applyBorder="1"/>
    <xf numFmtId="165" fontId="22" fillId="2" borderId="0" xfId="2" applyNumberFormat="1" applyFont="1" applyFill="1"/>
    <xf numFmtId="165" fontId="12" fillId="0" borderId="0" xfId="2" applyNumberFormat="1" applyFont="1"/>
    <xf numFmtId="42" fontId="12" fillId="0" borderId="0" xfId="0" applyNumberFormat="1" applyFont="1"/>
    <xf numFmtId="175" fontId="11" fillId="0" borderId="0" xfId="2" applyNumberFormat="1" applyFont="1"/>
    <xf numFmtId="170" fontId="17" fillId="0" borderId="0" xfId="0" applyNumberFormat="1" applyFont="1"/>
    <xf numFmtId="170" fontId="17" fillId="2" borderId="0" xfId="0" applyNumberFormat="1" applyFont="1" applyFill="1"/>
    <xf numFmtId="176" fontId="22" fillId="0" borderId="0" xfId="2" applyNumberFormat="1" applyFont="1" applyFill="1"/>
    <xf numFmtId="44" fontId="25" fillId="2" borderId="0" xfId="0" applyNumberFormat="1" applyFont="1" applyFill="1"/>
    <xf numFmtId="165" fontId="25" fillId="2" borderId="0" xfId="0" applyNumberFormat="1" applyFont="1" applyFill="1"/>
    <xf numFmtId="165" fontId="25" fillId="0" borderId="0" xfId="0" applyNumberFormat="1" applyFont="1"/>
    <xf numFmtId="9" fontId="25" fillId="0" borderId="0" xfId="0" applyNumberFormat="1" applyFont="1"/>
    <xf numFmtId="165" fontId="12" fillId="0" borderId="0" xfId="0" applyNumberFormat="1" applyFont="1"/>
    <xf numFmtId="42" fontId="12" fillId="2" borderId="0" xfId="0" applyNumberFormat="1" applyFont="1" applyFill="1"/>
    <xf numFmtId="175" fontId="11" fillId="2" borderId="0" xfId="0" applyNumberFormat="1" applyFont="1" applyFill="1"/>
    <xf numFmtId="175" fontId="19" fillId="0" borderId="2" xfId="0" applyNumberFormat="1" applyFont="1" applyBorder="1"/>
    <xf numFmtId="44" fontId="11" fillId="0" borderId="6" xfId="2" applyFont="1" applyBorder="1"/>
    <xf numFmtId="0" fontId="19" fillId="6" borderId="3" xfId="0" applyFont="1" applyFill="1" applyBorder="1" applyAlignment="1">
      <alignment horizontal="center"/>
    </xf>
    <xf numFmtId="0" fontId="19" fillId="6" borderId="2" xfId="0" applyFont="1" applyFill="1" applyBorder="1" applyAlignment="1">
      <alignment horizontal="center"/>
    </xf>
    <xf numFmtId="0" fontId="19" fillId="6" borderId="4" xfId="0" applyFont="1" applyFill="1" applyBorder="1" applyAlignment="1">
      <alignment horizontal="center"/>
    </xf>
    <xf numFmtId="0" fontId="19" fillId="6" borderId="7" xfId="0" applyFont="1" applyFill="1" applyBorder="1" applyAlignment="1">
      <alignment horizontal="center"/>
    </xf>
    <xf numFmtId="9" fontId="19" fillId="6" borderId="8" xfId="0" applyNumberFormat="1" applyFont="1" applyFill="1" applyBorder="1" applyAlignment="1">
      <alignment horizontal="center"/>
    </xf>
    <xf numFmtId="9" fontId="19" fillId="6" borderId="9" xfId="0" applyNumberFormat="1" applyFont="1" applyFill="1" applyBorder="1" applyAlignment="1">
      <alignment horizontal="center"/>
    </xf>
    <xf numFmtId="165" fontId="22" fillId="0" borderId="0" xfId="2" applyNumberFormat="1" applyFont="1" applyFill="1" applyBorder="1" applyAlignment="1">
      <alignment horizontal="right" vertical="center"/>
    </xf>
    <xf numFmtId="0" fontId="9" fillId="0" borderId="5" xfId="0" applyFont="1" applyBorder="1"/>
    <xf numFmtId="0" fontId="8" fillId="0" borderId="0" xfId="0" applyFont="1"/>
    <xf numFmtId="0" fontId="19" fillId="0" borderId="1" xfId="0" applyFont="1" applyBorder="1" applyAlignment="1">
      <alignment horizontal="right"/>
    </xf>
    <xf numFmtId="174" fontId="19" fillId="6" borderId="0" xfId="2" applyNumberFormat="1" applyFont="1" applyFill="1"/>
    <xf numFmtId="174" fontId="22" fillId="6" borderId="0" xfId="2" applyNumberFormat="1" applyFont="1" applyFill="1"/>
    <xf numFmtId="174" fontId="11" fillId="6" borderId="0" xfId="0" applyNumberFormat="1" applyFont="1" applyFill="1"/>
    <xf numFmtId="174" fontId="19" fillId="6" borderId="2" xfId="0" applyNumberFormat="1" applyFont="1" applyFill="1" applyBorder="1"/>
    <xf numFmtId="174" fontId="19" fillId="6" borderId="0" xfId="0" applyNumberFormat="1" applyFont="1" applyFill="1"/>
    <xf numFmtId="174" fontId="11" fillId="6" borderId="0" xfId="2" applyNumberFormat="1" applyFont="1" applyFill="1"/>
    <xf numFmtId="0" fontId="19" fillId="0" borderId="8" xfId="0" applyFont="1" applyBorder="1" applyAlignment="1">
      <alignment horizontal="right"/>
    </xf>
    <xf numFmtId="166" fontId="12" fillId="0" borderId="8" xfId="0" applyNumberFormat="1" applyFont="1" applyBorder="1"/>
    <xf numFmtId="166" fontId="22" fillId="0" borderId="8" xfId="0" applyNumberFormat="1" applyFont="1" applyBorder="1"/>
    <xf numFmtId="0" fontId="11" fillId="0" borderId="10" xfId="0" applyFont="1" applyBorder="1"/>
    <xf numFmtId="166" fontId="11" fillId="0" borderId="8" xfId="1" applyNumberFormat="1" applyFont="1" applyFill="1" applyBorder="1"/>
    <xf numFmtId="0" fontId="19" fillId="0" borderId="14" xfId="0" applyFont="1" applyBorder="1" applyAlignment="1">
      <alignment horizontal="right"/>
    </xf>
    <xf numFmtId="0" fontId="19" fillId="0" borderId="15" xfId="0" applyFont="1" applyBorder="1" applyAlignment="1">
      <alignment horizontal="right"/>
    </xf>
    <xf numFmtId="0" fontId="11" fillId="0" borderId="2" xfId="0" applyFont="1" applyBorder="1"/>
    <xf numFmtId="43" fontId="25" fillId="0" borderId="0" xfId="1" applyFont="1" applyFill="1"/>
    <xf numFmtId="0" fontId="19" fillId="6" borderId="0" xfId="0" applyFont="1" applyFill="1" applyAlignment="1">
      <alignment horizontal="center"/>
    </xf>
    <xf numFmtId="9" fontId="19" fillId="6" borderId="0" xfId="0" applyNumberFormat="1" applyFont="1" applyFill="1" applyAlignment="1">
      <alignment horizontal="center"/>
    </xf>
    <xf numFmtId="0" fontId="19" fillId="6" borderId="0" xfId="0" applyFont="1" applyFill="1" applyAlignment="1">
      <alignment horizontal="left"/>
    </xf>
    <xf numFmtId="2" fontId="19" fillId="6" borderId="0" xfId="1" applyNumberFormat="1" applyFont="1" applyFill="1" applyBorder="1" applyAlignment="1">
      <alignment horizontal="center"/>
    </xf>
    <xf numFmtId="1" fontId="19" fillId="6" borderId="0" xfId="1" applyNumberFormat="1" applyFont="1" applyFill="1" applyBorder="1" applyAlignment="1">
      <alignment horizontal="center"/>
    </xf>
    <xf numFmtId="0" fontId="19" fillId="6" borderId="0" xfId="0" applyFont="1" applyFill="1"/>
    <xf numFmtId="0" fontId="37" fillId="0" borderId="0" xfId="0" applyFont="1"/>
    <xf numFmtId="166" fontId="37" fillId="0" borderId="0" xfId="0" applyNumberFormat="1" applyFont="1"/>
    <xf numFmtId="0" fontId="38" fillId="0" borderId="0" xfId="4" applyFont="1"/>
    <xf numFmtId="0" fontId="38" fillId="0" borderId="0" xfId="0" applyFont="1"/>
    <xf numFmtId="44" fontId="39" fillId="0" borderId="0" xfId="2" applyFont="1" applyAlignment="1">
      <alignment horizontal="right"/>
    </xf>
    <xf numFmtId="166" fontId="39" fillId="0" borderId="0" xfId="0" applyNumberFormat="1" applyFont="1" applyAlignment="1">
      <alignment horizontal="right"/>
    </xf>
    <xf numFmtId="0" fontId="40" fillId="0" borderId="0" xfId="4" applyFont="1"/>
    <xf numFmtId="0" fontId="40" fillId="0" borderId="0" xfId="0" applyFont="1"/>
    <xf numFmtId="165" fontId="41" fillId="0" borderId="0" xfId="2" applyNumberFormat="1" applyFont="1" applyAlignment="1">
      <alignment horizontal="right"/>
    </xf>
    <xf numFmtId="166" fontId="41" fillId="0" borderId="0" xfId="0" applyNumberFormat="1" applyFont="1" applyAlignment="1">
      <alignment horizontal="right"/>
    </xf>
    <xf numFmtId="0" fontId="43" fillId="0" borderId="0" xfId="4" applyFont="1"/>
    <xf numFmtId="0" fontId="43" fillId="0" borderId="0" xfId="0" applyFont="1"/>
    <xf numFmtId="166" fontId="43" fillId="0" borderId="0" xfId="0" applyNumberFormat="1" applyFont="1" applyAlignment="1">
      <alignment horizontal="right"/>
    </xf>
    <xf numFmtId="0" fontId="44" fillId="0" borderId="0" xfId="0" applyFont="1"/>
    <xf numFmtId="0" fontId="45" fillId="0" borderId="0" xfId="0" applyFont="1"/>
    <xf numFmtId="165" fontId="45" fillId="0" borderId="0" xfId="2" applyNumberFormat="1" applyFont="1" applyFill="1"/>
    <xf numFmtId="165" fontId="45" fillId="0" borderId="0" xfId="2" applyNumberFormat="1" applyFont="1" applyFill="1" applyAlignment="1">
      <alignment horizontal="right"/>
    </xf>
    <xf numFmtId="0" fontId="44" fillId="0" borderId="7" xfId="0" applyFont="1" applyBorder="1"/>
    <xf numFmtId="0" fontId="45" fillId="0" borderId="8" xfId="0" applyFont="1" applyBorder="1"/>
    <xf numFmtId="42" fontId="45" fillId="0" borderId="8" xfId="0" applyNumberFormat="1" applyFont="1" applyBorder="1"/>
    <xf numFmtId="0" fontId="43" fillId="0" borderId="5" xfId="4" applyFont="1" applyBorder="1"/>
    <xf numFmtId="42" fontId="43" fillId="0" borderId="0" xfId="0" applyNumberFormat="1" applyFont="1"/>
    <xf numFmtId="168" fontId="43" fillId="0" borderId="6" xfId="3" applyNumberFormat="1" applyFont="1" applyBorder="1"/>
    <xf numFmtId="0" fontId="37" fillId="0" borderId="16" xfId="0" applyFont="1" applyBorder="1"/>
    <xf numFmtId="165" fontId="37" fillId="0" borderId="0" xfId="0" applyNumberFormat="1" applyFont="1"/>
    <xf numFmtId="165" fontId="39" fillId="0" borderId="0" xfId="0" applyNumberFormat="1" applyFont="1" applyAlignment="1">
      <alignment horizontal="right"/>
    </xf>
    <xf numFmtId="0" fontId="40" fillId="0" borderId="16" xfId="4" applyFont="1" applyBorder="1"/>
    <xf numFmtId="165" fontId="41" fillId="0" borderId="0" xfId="0" applyNumberFormat="1" applyFont="1" applyAlignment="1">
      <alignment horizontal="right"/>
    </xf>
    <xf numFmtId="0" fontId="40" fillId="0" borderId="13" xfId="4" applyFont="1" applyBorder="1"/>
    <xf numFmtId="168" fontId="40" fillId="0" borderId="20" xfId="3" applyNumberFormat="1" applyFont="1" applyBorder="1" applyAlignment="1">
      <alignment horizontal="right"/>
    </xf>
    <xf numFmtId="168" fontId="40" fillId="0" borderId="21" xfId="3" applyNumberFormat="1" applyFont="1" applyBorder="1" applyAlignment="1">
      <alignment horizontal="right"/>
    </xf>
    <xf numFmtId="0" fontId="43" fillId="0" borderId="16" xfId="4" applyFont="1" applyBorder="1"/>
    <xf numFmtId="165" fontId="43" fillId="0" borderId="0" xfId="0" applyNumberFormat="1" applyFont="1" applyAlignment="1">
      <alignment horizontal="right"/>
    </xf>
    <xf numFmtId="0" fontId="45" fillId="0" borderId="18" xfId="4" applyFont="1" applyBorder="1"/>
    <xf numFmtId="168" fontId="45" fillId="0" borderId="1" xfId="3" applyNumberFormat="1" applyFont="1" applyFill="1" applyBorder="1" applyAlignment="1">
      <alignment horizontal="right"/>
    </xf>
    <xf numFmtId="168" fontId="45" fillId="0" borderId="19" xfId="3" applyNumberFormat="1" applyFont="1" applyFill="1" applyBorder="1" applyAlignment="1">
      <alignment horizontal="right"/>
    </xf>
    <xf numFmtId="0" fontId="46" fillId="0" borderId="0" xfId="0" applyFont="1" applyAlignment="1">
      <alignment horizontal="left" indent="1"/>
    </xf>
    <xf numFmtId="0" fontId="47" fillId="0" borderId="0" xfId="0" applyFont="1"/>
    <xf numFmtId="166" fontId="47" fillId="0" borderId="0" xfId="0" applyNumberFormat="1" applyFont="1"/>
    <xf numFmtId="166" fontId="47" fillId="2" borderId="0" xfId="0" applyNumberFormat="1" applyFont="1" applyFill="1"/>
    <xf numFmtId="0" fontId="48" fillId="0" borderId="0" xfId="0" quotePrefix="1" applyFont="1"/>
    <xf numFmtId="0" fontId="49" fillId="0" borderId="0" xfId="0" applyFont="1"/>
    <xf numFmtId="168" fontId="49" fillId="0" borderId="0" xfId="3" applyNumberFormat="1" applyFont="1" applyFill="1" applyBorder="1"/>
    <xf numFmtId="168" fontId="49" fillId="2" borderId="0" xfId="3" applyNumberFormat="1" applyFont="1" applyFill="1" applyBorder="1"/>
    <xf numFmtId="168" fontId="49" fillId="0" borderId="0" xfId="3" applyNumberFormat="1" applyFont="1"/>
    <xf numFmtId="168" fontId="49" fillId="2" borderId="0" xfId="3" applyNumberFormat="1" applyFont="1" applyFill="1"/>
    <xf numFmtId="168" fontId="49" fillId="0" borderId="0" xfId="3" applyNumberFormat="1" applyFont="1" applyFill="1"/>
    <xf numFmtId="0" fontId="11" fillId="7" borderId="0" xfId="0" applyFont="1" applyFill="1"/>
    <xf numFmtId="43" fontId="25" fillId="2" borderId="0" xfId="1" applyFont="1" applyFill="1"/>
    <xf numFmtId="166" fontId="12" fillId="2" borderId="8" xfId="0" applyNumberFormat="1" applyFont="1" applyFill="1" applyBorder="1"/>
    <xf numFmtId="166" fontId="22" fillId="2" borderId="8" xfId="0" applyNumberFormat="1" applyFont="1" applyFill="1" applyBorder="1"/>
    <xf numFmtId="0" fontId="11" fillId="2" borderId="8" xfId="0" applyFont="1" applyFill="1" applyBorder="1"/>
    <xf numFmtId="0" fontId="11" fillId="2" borderId="10" xfId="0" applyFont="1" applyFill="1" applyBorder="1"/>
    <xf numFmtId="0" fontId="38" fillId="0" borderId="16" xfId="4" applyFont="1" applyBorder="1"/>
    <xf numFmtId="2" fontId="11" fillId="0" borderId="0" xfId="0" applyNumberFormat="1" applyFont="1" applyAlignment="1">
      <alignment horizontal="center"/>
    </xf>
    <xf numFmtId="0" fontId="6" fillId="0" borderId="0" xfId="0" applyFont="1"/>
    <xf numFmtId="0" fontId="18" fillId="0" borderId="0" xfId="0" applyFont="1" applyAlignment="1">
      <alignment horizontal="center"/>
    </xf>
    <xf numFmtId="0" fontId="18" fillId="0" borderId="0" xfId="0" applyFont="1"/>
    <xf numFmtId="166" fontId="18" fillId="0" borderId="0" xfId="0" applyNumberFormat="1" applyFont="1"/>
    <xf numFmtId="0" fontId="28" fillId="0" borderId="0" xfId="0" applyFont="1"/>
    <xf numFmtId="168" fontId="28" fillId="0" borderId="0" xfId="0" applyNumberFormat="1" applyFont="1"/>
    <xf numFmtId="0" fontId="19" fillId="6" borderId="5" xfId="0" applyFont="1" applyFill="1" applyBorder="1" applyAlignment="1">
      <alignment horizontal="center"/>
    </xf>
    <xf numFmtId="2" fontId="19" fillId="6" borderId="0" xfId="3" applyNumberFormat="1" applyFont="1" applyFill="1" applyBorder="1" applyAlignment="1">
      <alignment horizontal="center"/>
    </xf>
    <xf numFmtId="168" fontId="19" fillId="6" borderId="8" xfId="0" applyNumberFormat="1" applyFont="1" applyFill="1" applyBorder="1" applyAlignment="1">
      <alignment horizontal="center"/>
    </xf>
    <xf numFmtId="168" fontId="19" fillId="6" borderId="0" xfId="0" applyNumberFormat="1" applyFont="1" applyFill="1" applyAlignment="1">
      <alignment horizontal="center"/>
    </xf>
    <xf numFmtId="168" fontId="19" fillId="6" borderId="6" xfId="0" applyNumberFormat="1" applyFont="1" applyFill="1" applyBorder="1" applyAlignment="1">
      <alignment horizontal="center"/>
    </xf>
    <xf numFmtId="2" fontId="19" fillId="6" borderId="6" xfId="3" applyNumberFormat="1" applyFont="1" applyFill="1" applyBorder="1" applyAlignment="1">
      <alignment horizontal="center"/>
    </xf>
    <xf numFmtId="168" fontId="19" fillId="6" borderId="9" xfId="0" applyNumberFormat="1" applyFont="1" applyFill="1" applyBorder="1" applyAlignment="1">
      <alignment horizontal="center"/>
    </xf>
    <xf numFmtId="0" fontId="5" fillId="0" borderId="0" xfId="0" applyFont="1"/>
    <xf numFmtId="0" fontId="37" fillId="8" borderId="3" xfId="0" applyFont="1" applyFill="1" applyBorder="1"/>
    <xf numFmtId="0" fontId="37" fillId="8" borderId="2" xfId="0" applyFont="1" applyFill="1" applyBorder="1"/>
    <xf numFmtId="42" fontId="37" fillId="8" borderId="2" xfId="0" applyNumberFormat="1" applyFont="1" applyFill="1" applyBorder="1"/>
    <xf numFmtId="168" fontId="37" fillId="8" borderId="4" xfId="3" applyNumberFormat="1" applyFont="1" applyFill="1" applyBorder="1"/>
    <xf numFmtId="0" fontId="38" fillId="9" borderId="5" xfId="4" applyFont="1" applyFill="1" applyBorder="1"/>
    <xf numFmtId="0" fontId="38" fillId="9" borderId="0" xfId="0" applyFont="1" applyFill="1"/>
    <xf numFmtId="42" fontId="39" fillId="9" borderId="0" xfId="0" applyNumberFormat="1" applyFont="1" applyFill="1"/>
    <xf numFmtId="168" fontId="38" fillId="9" borderId="6" xfId="3" applyNumberFormat="1" applyFont="1" applyFill="1" applyBorder="1"/>
    <xf numFmtId="0" fontId="40" fillId="10" borderId="5" xfId="4" applyFont="1" applyFill="1" applyBorder="1"/>
    <xf numFmtId="0" fontId="40" fillId="10" borderId="0" xfId="0" applyFont="1" applyFill="1"/>
    <xf numFmtId="42" fontId="42" fillId="10" borderId="0" xfId="0" applyNumberFormat="1" applyFont="1" applyFill="1"/>
    <xf numFmtId="9" fontId="40" fillId="10" borderId="6" xfId="3" applyFont="1" applyFill="1" applyBorder="1"/>
    <xf numFmtId="169" fontId="17" fillId="0" borderId="0" xfId="0" applyNumberFormat="1" applyFont="1"/>
    <xf numFmtId="169" fontId="17" fillId="2" borderId="0" xfId="0" applyNumberFormat="1" applyFont="1" applyFill="1"/>
    <xf numFmtId="169" fontId="17" fillId="0" borderId="8" xfId="0" applyNumberFormat="1" applyFont="1" applyBorder="1"/>
    <xf numFmtId="169" fontId="17" fillId="2" borderId="8" xfId="0" applyNumberFormat="1" applyFont="1" applyFill="1" applyBorder="1"/>
    <xf numFmtId="169" fontId="17" fillId="0" borderId="8" xfId="1" applyNumberFormat="1" applyFont="1" applyFill="1" applyBorder="1"/>
    <xf numFmtId="169" fontId="17" fillId="2" borderId="8" xfId="1" applyNumberFormat="1" applyFont="1" applyFill="1" applyBorder="1"/>
    <xf numFmtId="166" fontId="4" fillId="0" borderId="0" xfId="0" applyNumberFormat="1" applyFont="1"/>
    <xf numFmtId="166" fontId="4" fillId="2" borderId="0" xfId="0" applyNumberFormat="1" applyFont="1" applyFill="1"/>
    <xf numFmtId="166" fontId="29" fillId="0" borderId="0" xfId="0" applyNumberFormat="1" applyFont="1"/>
    <xf numFmtId="14" fontId="11" fillId="3" borderId="0" xfId="0" applyNumberFormat="1" applyFont="1" applyFill="1"/>
    <xf numFmtId="14" fontId="7" fillId="3" borderId="0" xfId="0" applyNumberFormat="1" applyFont="1" applyFill="1" applyAlignment="1">
      <alignment horizontal="right"/>
    </xf>
    <xf numFmtId="0" fontId="12" fillId="0" borderId="1" xfId="0" applyFont="1" applyBorder="1"/>
    <xf numFmtId="0" fontId="12" fillId="0" borderId="0" xfId="0" applyFont="1" applyAlignment="1">
      <alignment horizontal="right"/>
    </xf>
    <xf numFmtId="44" fontId="11" fillId="0" borderId="8" xfId="2" applyFont="1" applyBorder="1"/>
    <xf numFmtId="165" fontId="37" fillId="0" borderId="22" xfId="0" applyNumberFormat="1" applyFont="1" applyBorder="1"/>
    <xf numFmtId="165" fontId="39" fillId="0" borderId="22" xfId="0" applyNumberFormat="1" applyFont="1" applyBorder="1" applyAlignment="1">
      <alignment horizontal="right"/>
    </xf>
    <xf numFmtId="165" fontId="43" fillId="0" borderId="22" xfId="0" applyNumberFormat="1" applyFont="1" applyBorder="1" applyAlignment="1">
      <alignment horizontal="right"/>
    </xf>
    <xf numFmtId="165" fontId="41" fillId="0" borderId="22" xfId="0" applyNumberFormat="1" applyFont="1" applyBorder="1" applyAlignment="1">
      <alignment horizontal="right"/>
    </xf>
    <xf numFmtId="0" fontId="11" fillId="3" borderId="0" xfId="0" applyFont="1" applyFill="1" applyAlignment="1">
      <alignment horizontal="centerContinuous"/>
    </xf>
    <xf numFmtId="166" fontId="12" fillId="6" borderId="0" xfId="0" applyNumberFormat="1" applyFont="1" applyFill="1"/>
    <xf numFmtId="166" fontId="4" fillId="6" borderId="0" xfId="0" applyNumberFormat="1" applyFont="1" applyFill="1"/>
    <xf numFmtId="42" fontId="12" fillId="6" borderId="0" xfId="0" applyNumberFormat="1" applyFont="1" applyFill="1"/>
    <xf numFmtId="166" fontId="22" fillId="6" borderId="0" xfId="0" applyNumberFormat="1" applyFont="1" applyFill="1"/>
    <xf numFmtId="0" fontId="2" fillId="0" borderId="0" xfId="0" quotePrefix="1" applyFont="1"/>
    <xf numFmtId="44" fontId="11" fillId="0" borderId="0" xfId="2" applyFont="1"/>
    <xf numFmtId="0" fontId="18" fillId="7" borderId="0" xfId="0" applyFont="1" applyFill="1" applyAlignment="1">
      <alignment horizontal="center"/>
    </xf>
    <xf numFmtId="10" fontId="11" fillId="0" borderId="5" xfId="3" applyNumberFormat="1" applyFont="1" applyBorder="1" applyAlignment="1">
      <alignment horizontal="center"/>
    </xf>
    <xf numFmtId="10" fontId="11" fillId="0" borderId="6" xfId="3" applyNumberFormat="1" applyFont="1" applyBorder="1" applyAlignment="1">
      <alignment horizontal="center"/>
    </xf>
    <xf numFmtId="42" fontId="30" fillId="7" borderId="3" xfId="0" applyNumberFormat="1" applyFont="1" applyFill="1" applyBorder="1" applyAlignment="1">
      <alignment horizontal="center"/>
    </xf>
    <xf numFmtId="42" fontId="30" fillId="7" borderId="4" xfId="0" applyNumberFormat="1" applyFont="1" applyFill="1" applyBorder="1" applyAlignment="1">
      <alignment horizontal="center"/>
    </xf>
    <xf numFmtId="0" fontId="23" fillId="0" borderId="5" xfId="0" applyFont="1" applyBorder="1" applyAlignment="1">
      <alignment horizontal="center"/>
    </xf>
    <xf numFmtId="0" fontId="23" fillId="0" borderId="6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10" fontId="23" fillId="0" borderId="5" xfId="3" applyNumberFormat="1" applyFont="1" applyBorder="1" applyAlignment="1">
      <alignment horizontal="center"/>
    </xf>
    <xf numFmtId="10" fontId="23" fillId="0" borderId="6" xfId="3" applyNumberFormat="1" applyFont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24" fillId="7" borderId="3" xfId="0" applyFont="1" applyFill="1" applyBorder="1" applyAlignment="1">
      <alignment horizontal="center"/>
    </xf>
    <xf numFmtId="0" fontId="24" fillId="7" borderId="2" xfId="0" applyFont="1" applyFill="1" applyBorder="1" applyAlignment="1">
      <alignment horizontal="center"/>
    </xf>
    <xf numFmtId="0" fontId="24" fillId="7" borderId="4" xfId="0" applyFont="1" applyFill="1" applyBorder="1" applyAlignment="1">
      <alignment horizontal="center"/>
    </xf>
    <xf numFmtId="0" fontId="11" fillId="0" borderId="0" xfId="0" applyFont="1" applyBorder="1"/>
    <xf numFmtId="164" fontId="11" fillId="0" borderId="0" xfId="0" applyNumberFormat="1" applyFont="1" applyBorder="1"/>
    <xf numFmtId="0" fontId="23" fillId="0" borderId="0" xfId="0" applyFont="1" applyBorder="1"/>
    <xf numFmtId="0" fontId="11" fillId="0" borderId="0" xfId="0" applyFont="1" applyBorder="1" applyAlignment="1">
      <alignment horizontal="left"/>
    </xf>
    <xf numFmtId="165" fontId="11" fillId="0" borderId="0" xfId="2" applyNumberFormat="1" applyFont="1" applyFill="1" applyBorder="1"/>
    <xf numFmtId="0" fontId="3" fillId="0" borderId="0" xfId="0" applyFont="1" applyBorder="1" applyAlignment="1">
      <alignment horizontal="left"/>
    </xf>
    <xf numFmtId="165" fontId="11" fillId="0" borderId="0" xfId="2" applyNumberFormat="1" applyFont="1" applyBorder="1"/>
    <xf numFmtId="165" fontId="22" fillId="0" borderId="0" xfId="2" applyNumberFormat="1" applyFont="1" applyBorder="1" applyAlignment="1">
      <alignment horizontal="right" vertical="center"/>
    </xf>
    <xf numFmtId="0" fontId="20" fillId="0" borderId="0" xfId="0" applyFont="1" applyFill="1" applyBorder="1" applyAlignment="1">
      <alignment horizontal="center"/>
    </xf>
  </cellXfs>
  <cellStyles count="5">
    <cellStyle name="Comma" xfId="1" builtinId="3"/>
    <cellStyle name="Currency" xfId="2" builtinId="4"/>
    <cellStyle name="Normal" xfId="0" builtinId="0"/>
    <cellStyle name="Normal 3" xfId="4" xr:uid="{A38FA93C-7B56-4467-A467-2708B3AC5AD5}"/>
    <cellStyle name="Percent" xfId="3" builtinId="5"/>
  </cellStyles>
  <dxfs count="0"/>
  <tableStyles count="0" defaultTableStyle="TableStyleMedium2" defaultPivotStyle="PivotStyleLight16"/>
  <colors>
    <mruColors>
      <color rgb="FFFFB3B3"/>
      <color rgb="FF1402F9"/>
      <color rgb="FFF216B1"/>
      <color rgb="FF0091FF"/>
      <color rgb="FF2F5597"/>
      <color rgb="FFFF5656"/>
      <color rgb="FF55AB55"/>
      <color rgb="FF3B38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Charts!$Q$3</c:f>
          <c:strCache>
            <c:ptCount val="1"/>
            <c:pt idx="0">
              <c:v>Company name (Company symbol) - Enterprise Value (EV)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3B3838"/>
            </a:solidFill>
            <a:ln w="12700">
              <a:solidFill>
                <a:schemeClr val="bg1"/>
              </a:solidFill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Charts!$C$2:$L$2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Charts!$C$8:$L$8</c:f>
              <c:numCache>
                <c:formatCode>_("$"* #,##0.0_);_("$"* \(#,##0.0\);_("$"* "-"??_);_(@_)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10-49A5-9F41-0E26E1B25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523881391"/>
        <c:axId val="1536576207"/>
      </c:barChart>
      <c:catAx>
        <c:axId val="1523881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576207"/>
        <c:crosses val="autoZero"/>
        <c:auto val="1"/>
        <c:lblAlgn val="ctr"/>
        <c:lblOffset val="100"/>
        <c:noMultiLvlLbl val="0"/>
      </c:catAx>
      <c:valAx>
        <c:axId val="1536576207"/>
        <c:scaling>
          <c:orientation val="minMax"/>
        </c:scaling>
        <c:delete val="0"/>
        <c:axPos val="l"/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881391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Charts!$Q$4</c:f>
          <c:strCache>
            <c:ptCount val="1"/>
            <c:pt idx="0">
              <c:v>Company name (Company symbol) - Earnings Power Value (EPV)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Charts!$B$6</c:f>
              <c:strCache>
                <c:ptCount val="1"/>
                <c:pt idx="0">
                  <c:v>Earnings Power Value</c:v>
                </c:pt>
              </c:strCache>
            </c:strRef>
          </c:tx>
          <c:spPr>
            <a:solidFill>
              <a:srgbClr val="2F5597"/>
            </a:solidFill>
            <a:ln w="12700">
              <a:solidFill>
                <a:schemeClr val="bg1"/>
              </a:solidFill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Charts!$C$2:$L$2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Charts!$C$6:$L$6</c:f>
              <c:numCache>
                <c:formatCode>_("$"* #,##0.0_);_("$"* \(#,##0.0\);_("$"* "-"??_);_(@_)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BF-4B1C-89FA-9B34994F3FCA}"/>
            </c:ext>
          </c:extLst>
        </c:ser>
        <c:ser>
          <c:idx val="1"/>
          <c:order val="1"/>
          <c:tx>
            <c:strRef>
              <c:f>Charts!$B$7</c:f>
              <c:strCache>
                <c:ptCount val="1"/>
                <c:pt idx="0">
                  <c:v>Market Implied value of NOPAT growth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 w="12700">
              <a:solidFill>
                <a:schemeClr val="bg1"/>
              </a:solidFill>
            </a:ln>
            <a:effectLst/>
          </c:spPr>
          <c:invertIfNegative val="0"/>
          <c:cat>
            <c:numRef>
              <c:f>Charts!$C$2:$L$2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Charts!$C$7:$L$7</c:f>
              <c:numCache>
                <c:formatCode>_("$"* #,##0.0_);_("$"* \(#,##0.0\);_("$"* "-"??_);_(@_)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BF-4B1C-89FA-9B34994F3F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631831839"/>
        <c:axId val="1536586607"/>
      </c:barChart>
      <c:catAx>
        <c:axId val="1631831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586607"/>
        <c:crosses val="autoZero"/>
        <c:auto val="1"/>
        <c:lblAlgn val="ctr"/>
        <c:lblOffset val="100"/>
        <c:noMultiLvlLbl val="0"/>
      </c:catAx>
      <c:valAx>
        <c:axId val="1536586607"/>
        <c:scaling>
          <c:orientation val="minMax"/>
        </c:scaling>
        <c:delete val="0"/>
        <c:axPos val="l"/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831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Charts!$Q$6</c:f>
          <c:strCache>
            <c:ptCount val="1"/>
            <c:pt idx="0">
              <c:v>Company name (Company symbol) - Market-Implied Value of NOPAT Growth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Charts!$B$6</c:f>
              <c:strCache>
                <c:ptCount val="1"/>
                <c:pt idx="0">
                  <c:v>Earnings Power Value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 w="12700">
              <a:solidFill>
                <a:schemeClr val="bg1"/>
              </a:solidFill>
            </a:ln>
            <a:effectLst/>
          </c:spPr>
          <c:invertIfNegative val="0"/>
          <c:cat>
            <c:numRef>
              <c:f>Charts!$C$2:$L$2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Charts!$C$6:$L$6</c:f>
              <c:numCache>
                <c:formatCode>_("$"* #,##0.0_);_("$"* \(#,##0.0\);_("$"* "-"??_);_(@_)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AE-4628-A949-F95F8A193CD1}"/>
            </c:ext>
          </c:extLst>
        </c:ser>
        <c:ser>
          <c:idx val="1"/>
          <c:order val="1"/>
          <c:tx>
            <c:strRef>
              <c:f>Charts!$B$7</c:f>
              <c:strCache>
                <c:ptCount val="1"/>
                <c:pt idx="0">
                  <c:v>Market Implied value of NOPAT growth</c:v>
                </c:pt>
              </c:strCache>
            </c:strRef>
          </c:tx>
          <c:spPr>
            <a:solidFill>
              <a:srgbClr val="55AB55"/>
            </a:solidFill>
            <a:ln w="12700">
              <a:solidFill>
                <a:schemeClr val="bg1"/>
              </a:solidFill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Charts!$C$2:$L$2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Charts!$C$7:$L$7</c:f>
              <c:numCache>
                <c:formatCode>_("$"* #,##0.0_);_("$"* \(#,##0.0\);_("$"* "-"??_);_(@_)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AE-4628-A949-F95F8A193C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631831839"/>
        <c:axId val="1536586607"/>
      </c:barChart>
      <c:catAx>
        <c:axId val="1631831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586607"/>
        <c:crosses val="autoZero"/>
        <c:auto val="1"/>
        <c:lblAlgn val="ctr"/>
        <c:lblOffset val="100"/>
        <c:noMultiLvlLbl val="0"/>
      </c:catAx>
      <c:valAx>
        <c:axId val="1536586607"/>
        <c:scaling>
          <c:orientation val="minMax"/>
        </c:scaling>
        <c:delete val="0"/>
        <c:axPos val="l"/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831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Charts!$Q$7</c:f>
          <c:strCache>
            <c:ptCount val="1"/>
            <c:pt idx="0">
              <c:v>Company name (Company symbol) - Historical Valuation in US Thousands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Charts!$B$4</c:f>
              <c:strCache>
                <c:ptCount val="1"/>
                <c:pt idx="0">
                  <c:v>Invested capital</c:v>
                </c:pt>
              </c:strCache>
            </c:strRef>
          </c:tx>
          <c:spPr>
            <a:solidFill>
              <a:srgbClr val="FF5656"/>
            </a:solidFill>
            <a:ln w="12700">
              <a:solidFill>
                <a:schemeClr val="bg1"/>
              </a:solidFill>
            </a:ln>
            <a:effectLst/>
          </c:spPr>
          <c:invertIfNegative val="0"/>
          <c:cat>
            <c:numRef>
              <c:f>Charts!$C$2:$L$2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Charts!$C$4:$L$4</c:f>
              <c:numCache>
                <c:formatCode>_("$"* #,##0.0_);_("$"* \(#,##0.0\);_("$"* "-"??_);_(@_)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8C-47E8-8BB9-99E46B37D866}"/>
            </c:ext>
          </c:extLst>
        </c:ser>
        <c:ser>
          <c:idx val="1"/>
          <c:order val="1"/>
          <c:tx>
            <c:strRef>
              <c:f>Charts!$B$5</c:f>
              <c:strCache>
                <c:ptCount val="1"/>
                <c:pt idx="0">
                  <c:v>Present value of competitive advantage</c:v>
                </c:pt>
              </c:strCache>
            </c:strRef>
          </c:tx>
          <c:spPr>
            <a:solidFill>
              <a:srgbClr val="0091FF"/>
            </a:solidFill>
            <a:ln w="12700">
              <a:solidFill>
                <a:schemeClr val="bg1"/>
              </a:solidFill>
            </a:ln>
            <a:effectLst/>
          </c:spPr>
          <c:invertIfNegative val="0"/>
          <c:cat>
            <c:numRef>
              <c:f>Charts!$C$2:$L$2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Charts!$C$5:$L$5</c:f>
              <c:numCache>
                <c:formatCode>_("$"* #,##0.0_);_("$"* \(#,##0.0\);_("$"* "-"??_);_(@_)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8C-47E8-8BB9-99E46B37D866}"/>
            </c:ext>
          </c:extLst>
        </c:ser>
        <c:ser>
          <c:idx val="2"/>
          <c:order val="2"/>
          <c:tx>
            <c:strRef>
              <c:f>Charts!$B$7</c:f>
              <c:strCache>
                <c:ptCount val="1"/>
                <c:pt idx="0">
                  <c:v>Market Implied value of NOPAT growth</c:v>
                </c:pt>
              </c:strCache>
            </c:strRef>
          </c:tx>
          <c:spPr>
            <a:solidFill>
              <a:srgbClr val="55AB55"/>
            </a:solidFill>
            <a:ln w="12700">
              <a:solidFill>
                <a:schemeClr val="bg1"/>
              </a:solidFill>
            </a:ln>
            <a:effectLst/>
          </c:spPr>
          <c:invertIfNegative val="0"/>
          <c:cat>
            <c:numRef>
              <c:f>Charts!$C$2:$L$2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Charts!$C$7:$L$7</c:f>
              <c:numCache>
                <c:formatCode>_("$"* #,##0.0_);_("$"* \(#,##0.0\);_("$"* "-"??_);_(@_)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8C-47E8-8BB9-99E46B37D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733548191"/>
        <c:axId val="1535107167"/>
      </c:barChart>
      <c:catAx>
        <c:axId val="1733548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107167"/>
        <c:crosses val="autoZero"/>
        <c:auto val="1"/>
        <c:lblAlgn val="ctr"/>
        <c:lblOffset val="100"/>
        <c:noMultiLvlLbl val="0"/>
      </c:catAx>
      <c:valAx>
        <c:axId val="1535107167"/>
        <c:scaling>
          <c:orientation val="minMax"/>
        </c:scaling>
        <c:delete val="0"/>
        <c:axPos val="l"/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548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Charts!$Q$8</c:f>
          <c:strCache>
            <c:ptCount val="1"/>
            <c:pt idx="0">
              <c:v>Company name (Company symbol) - Market-Implied Value of NOPAT Growth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Charts!$B$7</c:f>
              <c:strCache>
                <c:ptCount val="1"/>
                <c:pt idx="0">
                  <c:v>Market Implied value of NOPAT growth</c:v>
                </c:pt>
              </c:strCache>
            </c:strRef>
          </c:tx>
          <c:spPr>
            <a:solidFill>
              <a:srgbClr val="55AB55"/>
            </a:solidFill>
            <a:ln w="12700">
              <a:solidFill>
                <a:sysClr val="window" lastClr="FFFFFF"/>
              </a:solidFill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Charts!$C$2:$L$2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Charts!$C$7:$L$7</c:f>
              <c:numCache>
                <c:formatCode>_("$"* #,##0.0_);_("$"* \(#,##0.0\);_("$"* "-"??_);_(@_)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71-4BD7-9AE0-9174A9390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631831839"/>
        <c:axId val="1536586607"/>
      </c:barChart>
      <c:catAx>
        <c:axId val="1631831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586607"/>
        <c:crosses val="autoZero"/>
        <c:auto val="1"/>
        <c:lblAlgn val="ctr"/>
        <c:lblOffset val="100"/>
        <c:noMultiLvlLbl val="0"/>
      </c:catAx>
      <c:valAx>
        <c:axId val="1536586607"/>
        <c:scaling>
          <c:orientation val="minMax"/>
        </c:scaling>
        <c:delete val="0"/>
        <c:axPos val="l"/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831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Charts!$Q$5</c:f>
          <c:strCache>
            <c:ptCount val="1"/>
            <c:pt idx="0">
              <c:v>Company name (Company symbol) - Earnings Power Value (EPV) (Percentage of EV)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Charts!$B$11</c:f>
              <c:strCache>
                <c:ptCount val="1"/>
                <c:pt idx="0">
                  <c:v>Earnings Power Value</c:v>
                </c:pt>
              </c:strCache>
            </c:strRef>
          </c:tx>
          <c:spPr>
            <a:solidFill>
              <a:srgbClr val="2F5597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Charts!$C$2:$L$2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Charts!$C$11:$L$11</c:f>
              <c:numCache>
                <c:formatCode>0.0%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E9-45E9-85C9-068B6D4DB3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631831839"/>
        <c:axId val="1536586607"/>
      </c:barChart>
      <c:catAx>
        <c:axId val="1631831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586607"/>
        <c:crosses val="autoZero"/>
        <c:auto val="1"/>
        <c:lblAlgn val="ctr"/>
        <c:lblOffset val="100"/>
        <c:noMultiLvlLbl val="0"/>
      </c:catAx>
      <c:valAx>
        <c:axId val="1536586607"/>
        <c:scaling>
          <c:orientation val="minMax"/>
          <c:max val="1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831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Charts!$Q$9</c:f>
          <c:strCache>
            <c:ptCount val="1"/>
            <c:pt idx="0">
              <c:v>Company name (Company symbol) - Market-Implied Value of NOPAT Growth (Percentage of EV)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Charts!$B$10</c:f>
              <c:strCache>
                <c:ptCount val="1"/>
                <c:pt idx="0">
                  <c:v>Market Implied value of NOPAT growth</c:v>
                </c:pt>
              </c:strCache>
            </c:strRef>
          </c:tx>
          <c:spPr>
            <a:solidFill>
              <a:srgbClr val="55AB55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Charts!$C$2:$L$2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Charts!$C$10:$L$10</c:f>
              <c:numCache>
                <c:formatCode>0.0%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AB-4128-9C6A-7C1EAD7EF2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-27"/>
        <c:axId val="1039437144"/>
        <c:axId val="1039440424"/>
      </c:barChart>
      <c:catAx>
        <c:axId val="1039437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440424"/>
        <c:crosses val="autoZero"/>
        <c:auto val="1"/>
        <c:lblAlgn val="ctr"/>
        <c:lblOffset val="100"/>
        <c:noMultiLvlLbl val="0"/>
      </c:catAx>
      <c:valAx>
        <c:axId val="1039440424"/>
        <c:scaling>
          <c:orientation val="minMax"/>
          <c:max val="1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437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Charts!$B$14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5A6-455F-ABAB-32F49FCA3D75}"/>
                </c:ext>
              </c:extLst>
            </c:dLbl>
            <c:dLbl>
              <c:idx val="9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2CA-40C6-BD6E-4CC868B9E78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Charts!$C$13:$L$13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Charts!$C$14:$L$14</c:f>
              <c:numCache>
                <c:formatCode>_("$"* #,##0_);_("$"* \(#,##0\);_("$"* "-"??_);_(@_)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A6-455F-ABAB-32F49FCA3D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9229504"/>
        <c:axId val="793845632"/>
      </c:lineChart>
      <c:catAx>
        <c:axId val="739229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845632"/>
        <c:crosses val="autoZero"/>
        <c:auto val="1"/>
        <c:lblAlgn val="ctr"/>
        <c:lblOffset val="100"/>
        <c:noMultiLvlLbl val="0"/>
      </c:catAx>
      <c:valAx>
        <c:axId val="793845632"/>
        <c:scaling>
          <c:orientation val="minMax"/>
        </c:scaling>
        <c:delete val="0"/>
        <c:axPos val="l"/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229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Charts!$B$15</c:f>
              <c:strCache>
                <c:ptCount val="1"/>
                <c:pt idx="0">
                  <c:v>Operating Margin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46A-4C5B-AABA-D825747F500D}"/>
                </c:ext>
              </c:extLst>
            </c:dLbl>
            <c:dLbl>
              <c:idx val="8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3C0-46DB-8583-82FC7E223389}"/>
                </c:ext>
              </c:extLst>
            </c:dLbl>
            <c:dLbl>
              <c:idx val="9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330-4B61-A602-72F8C5EB6E8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Charts!$C$13:$L$13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Charts!$C$15:$L$15</c:f>
              <c:numCache>
                <c:formatCode>0.0%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6A-4C5B-AABA-D825747F5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9387056"/>
        <c:axId val="715615792"/>
      </c:lineChart>
      <c:catAx>
        <c:axId val="96938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615792"/>
        <c:crosses val="autoZero"/>
        <c:auto val="1"/>
        <c:lblAlgn val="ctr"/>
        <c:lblOffset val="100"/>
        <c:noMultiLvlLbl val="0"/>
      </c:catAx>
      <c:valAx>
        <c:axId val="715615792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387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Charts!$Z$40</c:f>
          <c:strCache>
            <c:ptCount val="1"/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9487705963050057E-2"/>
          <c:y val="0.1684649351418383"/>
          <c:w val="0.89443562950539934"/>
          <c:h val="0.72573284317607034"/>
        </c:manualLayout>
      </c:layout>
      <c:lineChart>
        <c:grouping val="stacked"/>
        <c:varyColors val="0"/>
        <c:ser>
          <c:idx val="0"/>
          <c:order val="0"/>
          <c:tx>
            <c:strRef>
              <c:f>'Call-out'!$C$2:$L$2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Financials!$D$116:$I$116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</c:numCache>
            </c:numRef>
          </c:cat>
          <c:val>
            <c:numRef>
              <c:f>'Call-out'!$C$3:$L$3</c:f>
              <c:numCache>
                <c:formatCode>0.0%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BA-4415-AD79-FC88D6DC7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7302063"/>
        <c:axId val="515989935"/>
      </c:lineChart>
      <c:catAx>
        <c:axId val="50730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989935"/>
        <c:crosses val="autoZero"/>
        <c:auto val="1"/>
        <c:lblAlgn val="ctr"/>
        <c:lblOffset val="100"/>
        <c:noMultiLvlLbl val="0"/>
      </c:catAx>
      <c:valAx>
        <c:axId val="515989935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302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Company name - symbol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'Call-out'!$B$6</c:f>
              <c:strCache>
                <c:ptCount val="1"/>
                <c:pt idx="0">
                  <c:v>ROIC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'Call-out'!$C$5:$L$5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'Call-out'!$C$6:$L$6</c:f>
              <c:numCache>
                <c:formatCode>0.0%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B-49D1-AA40-1BC5CF01CEC6}"/>
            </c:ext>
          </c:extLst>
        </c:ser>
        <c:ser>
          <c:idx val="1"/>
          <c:order val="1"/>
          <c:tx>
            <c:strRef>
              <c:f>'Call-out'!$B$7</c:f>
              <c:strCache>
                <c:ptCount val="1"/>
                <c:pt idx="0">
                  <c:v>Cost of Capital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'Call-out'!$C$5:$L$5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'Call-out'!$C$7:$L$7</c:f>
              <c:numCache>
                <c:formatCode>0%</c:formatCode>
                <c:ptCount val="10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6B-49D1-AA40-1BC5CF01C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2244688"/>
        <c:axId val="1132248848"/>
      </c:lineChart>
      <c:catAx>
        <c:axId val="1132244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248848"/>
        <c:crosses val="autoZero"/>
        <c:auto val="1"/>
        <c:lblAlgn val="ctr"/>
        <c:lblOffset val="100"/>
        <c:noMultiLvlLbl val="0"/>
      </c:catAx>
      <c:valAx>
        <c:axId val="1132248848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2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Company name - ROIC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'Call-out'!$B$10</c:f>
              <c:strCache>
                <c:ptCount val="1"/>
                <c:pt idx="0">
                  <c:v>% margin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'Call-out'!$C$9:$L$9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'Call-out'!$C$10:$L$10</c:f>
              <c:numCache>
                <c:formatCode>0.0%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E0-49F8-A5D9-6B82BE50AE8E}"/>
            </c:ext>
          </c:extLst>
        </c:ser>
        <c:ser>
          <c:idx val="2"/>
          <c:order val="2"/>
          <c:tx>
            <c:strRef>
              <c:f>'Call-out'!$B$12</c:f>
              <c:strCache>
                <c:ptCount val="1"/>
                <c:pt idx="0">
                  <c:v>ROIC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'Call-out'!$C$9:$L$9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'Call-out'!$C$12:$L$12</c:f>
              <c:numCache>
                <c:formatCode>0.0%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E0-49F8-A5D9-6B82BE50A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3521567"/>
        <c:axId val="739878687"/>
      </c:lineChart>
      <c:lineChart>
        <c:grouping val="standard"/>
        <c:varyColors val="0"/>
        <c:ser>
          <c:idx val="1"/>
          <c:order val="1"/>
          <c:tx>
            <c:strRef>
              <c:f>'Call-out'!$B$11</c:f>
              <c:strCache>
                <c:ptCount val="1"/>
                <c:pt idx="0">
                  <c:v>Scale</c:v>
                </c:pt>
              </c:strCache>
            </c:strRef>
          </c:tx>
          <c:spPr>
            <a:ln w="28575" cap="rnd">
              <a:solidFill>
                <a:srgbClr val="F216B1"/>
              </a:solidFill>
              <a:round/>
            </a:ln>
            <a:effectLst/>
          </c:spPr>
          <c:marker>
            <c:symbol val="none"/>
          </c:marker>
          <c:cat>
            <c:numRef>
              <c:f>'Call-out'!$C$9:$L$9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'Call-out'!$C$11:$L$11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E0-49F8-A5D9-6B82BE50A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3947711"/>
        <c:axId val="737336479"/>
      </c:lineChart>
      <c:catAx>
        <c:axId val="643521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878687"/>
        <c:crosses val="autoZero"/>
        <c:auto val="1"/>
        <c:lblAlgn val="ctr"/>
        <c:lblOffset val="100"/>
        <c:noMultiLvlLbl val="0"/>
      </c:catAx>
      <c:valAx>
        <c:axId val="739878687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521567"/>
        <c:crosses val="autoZero"/>
        <c:crossBetween val="between"/>
      </c:valAx>
      <c:valAx>
        <c:axId val="737336479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947711"/>
        <c:crosses val="max"/>
        <c:crossBetween val="between"/>
      </c:valAx>
      <c:catAx>
        <c:axId val="47394771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373364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55522</xdr:colOff>
      <xdr:row>18</xdr:row>
      <xdr:rowOff>108501</xdr:rowOff>
    </xdr:from>
    <xdr:to>
      <xdr:col>6</xdr:col>
      <xdr:colOff>260511</xdr:colOff>
      <xdr:row>40</xdr:row>
      <xdr:rowOff>37668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83CCBAE-D013-4AF5-8FC8-FB7EF12449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114837</xdr:colOff>
      <xdr:row>18</xdr:row>
      <xdr:rowOff>131648</xdr:rowOff>
    </xdr:from>
    <xdr:to>
      <xdr:col>24</xdr:col>
      <xdr:colOff>185671</xdr:colOff>
      <xdr:row>40</xdr:row>
      <xdr:rowOff>60815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82F5E46-D299-4547-8F18-7C8FF9EF72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11758</xdr:colOff>
      <xdr:row>42</xdr:row>
      <xdr:rowOff>86291</xdr:rowOff>
    </xdr:from>
    <xdr:to>
      <xdr:col>6</xdr:col>
      <xdr:colOff>216747</xdr:colOff>
      <xdr:row>64</xdr:row>
      <xdr:rowOff>69119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534AACF-71DF-4733-9BBC-3BFC52B96A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120532</xdr:colOff>
      <xdr:row>42</xdr:row>
      <xdr:rowOff>109199</xdr:rowOff>
    </xdr:from>
    <xdr:to>
      <xdr:col>24</xdr:col>
      <xdr:colOff>191366</xdr:colOff>
      <xdr:row>64</xdr:row>
      <xdr:rowOff>92027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C21A168-FAA4-460E-8662-AC12EAB796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540573</xdr:colOff>
      <xdr:row>66</xdr:row>
      <xdr:rowOff>105255</xdr:rowOff>
    </xdr:from>
    <xdr:to>
      <xdr:col>6</xdr:col>
      <xdr:colOff>140523</xdr:colOff>
      <xdr:row>88</xdr:row>
      <xdr:rowOff>88083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56920F6-A617-40F0-8313-7ADBEE8311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346384</xdr:colOff>
      <xdr:row>18</xdr:row>
      <xdr:rowOff>105844</xdr:rowOff>
    </xdr:from>
    <xdr:to>
      <xdr:col>29</xdr:col>
      <xdr:colOff>283063</xdr:colOff>
      <xdr:row>40</xdr:row>
      <xdr:rowOff>35011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72EB359-D560-4A9B-9AC1-52AA21CB6B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130993</xdr:colOff>
      <xdr:row>66</xdr:row>
      <xdr:rowOff>113213</xdr:rowOff>
    </xdr:from>
    <xdr:to>
      <xdr:col>24</xdr:col>
      <xdr:colOff>201827</xdr:colOff>
      <xdr:row>88</xdr:row>
      <xdr:rowOff>96041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3442677-2898-46E6-B744-5764CF607C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95250</xdr:colOff>
      <xdr:row>90</xdr:row>
      <xdr:rowOff>157766</xdr:rowOff>
    </xdr:from>
    <xdr:to>
      <xdr:col>24</xdr:col>
      <xdr:colOff>166084</xdr:colOff>
      <xdr:row>112</xdr:row>
      <xdr:rowOff>140594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6A4C23-06BA-042C-E704-6101F9A2FA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242820</xdr:colOff>
      <xdr:row>89</xdr:row>
      <xdr:rowOff>144351</xdr:rowOff>
    </xdr:from>
    <xdr:to>
      <xdr:col>5</xdr:col>
      <xdr:colOff>863689</xdr:colOff>
      <xdr:row>111</xdr:row>
      <xdr:rowOff>127179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E39209-C654-F100-A5DF-56C92B18CC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22</xdr:row>
      <xdr:rowOff>0</xdr:rowOff>
    </xdr:from>
    <xdr:to>
      <xdr:col>9</xdr:col>
      <xdr:colOff>538654</xdr:colOff>
      <xdr:row>37</xdr:row>
      <xdr:rowOff>161446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36DBC9-706F-4B83-9478-AA1A24EC9A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247650</xdr:colOff>
      <xdr:row>22</xdr:row>
      <xdr:rowOff>3810</xdr:rowOff>
    </xdr:from>
    <xdr:to>
      <xdr:col>23</xdr:col>
      <xdr:colOff>336988</xdr:colOff>
      <xdr:row>44</xdr:row>
      <xdr:rowOff>23954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0A3999B-5EC3-4781-BA77-C9448A047D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51457</xdr:colOff>
      <xdr:row>21</xdr:row>
      <xdr:rowOff>139263</xdr:rowOff>
    </xdr:from>
    <xdr:to>
      <xdr:col>36</xdr:col>
      <xdr:colOff>140795</xdr:colOff>
      <xdr:row>43</xdr:row>
      <xdr:rowOff>159407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A434956-64DA-7AD0-E690-C4F97CE9AA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30</xdr:col>
      <xdr:colOff>241035</xdr:colOff>
      <xdr:row>41</xdr:row>
      <xdr:rowOff>10948</xdr:rowOff>
    </xdr:from>
    <xdr:ext cx="1157754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AEE7C63-4CFD-690E-2465-46C7115EFCD8}"/>
            </a:ext>
          </a:extLst>
        </xdr:cNvPr>
        <xdr:cNvSpPr txBox="1"/>
      </xdr:nvSpPr>
      <xdr:spPr>
        <a:xfrm>
          <a:off x="18907845" y="7641896"/>
          <a:ext cx="1157754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sz="1600">
              <a:solidFill>
                <a:srgbClr val="1402F9"/>
              </a:solidFill>
            </a:rPr>
            <a:t>Profitability</a:t>
          </a:r>
          <a:endParaRPr lang="en-US" sz="1400">
            <a:solidFill>
              <a:srgbClr val="1402F9"/>
            </a:solidFill>
          </a:endParaRPr>
        </a:p>
      </xdr:txBody>
    </xdr:sp>
    <xdr:clientData/>
  </xdr:oneCellAnchor>
  <xdr:oneCellAnchor>
    <xdr:from>
      <xdr:col>33</xdr:col>
      <xdr:colOff>534370</xdr:colOff>
      <xdr:row>29</xdr:row>
      <xdr:rowOff>97658</xdr:rowOff>
    </xdr:from>
    <xdr:ext cx="613117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81A2589-7E21-9023-AA56-C6DA5682AB58}"/>
            </a:ext>
          </a:extLst>
        </xdr:cNvPr>
        <xdr:cNvSpPr txBox="1"/>
      </xdr:nvSpPr>
      <xdr:spPr>
        <a:xfrm>
          <a:off x="21007646" y="5495158"/>
          <a:ext cx="613117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sz="1600">
              <a:solidFill>
                <a:srgbClr val="F216B1"/>
              </a:solidFill>
            </a:rPr>
            <a:t>Scale</a:t>
          </a:r>
        </a:p>
      </xdr:txBody>
    </xdr:sp>
    <xdr:clientData/>
  </xdr:oneCellAnchor>
  <xdr:oneCellAnchor>
    <xdr:from>
      <xdr:col>27</xdr:col>
      <xdr:colOff>258875</xdr:colOff>
      <xdr:row>28</xdr:row>
      <xdr:rowOff>151525</xdr:rowOff>
    </xdr:from>
    <xdr:ext cx="593047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59C0AB4-B67C-406F-272E-B8D0BAD22162}"/>
            </a:ext>
          </a:extLst>
        </xdr:cNvPr>
        <xdr:cNvSpPr txBox="1"/>
      </xdr:nvSpPr>
      <xdr:spPr>
        <a:xfrm>
          <a:off x="16517065" y="5362904"/>
          <a:ext cx="593047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sz="1600">
              <a:solidFill>
                <a:schemeClr val="bg1">
                  <a:lumMod val="50000"/>
                </a:schemeClr>
              </a:solidFill>
            </a:rPr>
            <a:t>ROIC</a:t>
          </a:r>
          <a:endParaRPr lang="en-US" sz="1400">
            <a:solidFill>
              <a:schemeClr val="bg1">
                <a:lumMod val="50000"/>
              </a:schemeClr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17924-63E0-417F-A78A-4EC548656842}">
  <dimension ref="B2:P154"/>
  <sheetViews>
    <sheetView showGridLines="0" tabSelected="1" zoomScale="74" zoomScaleNormal="74" workbookViewId="0">
      <selection activeCell="M42" sqref="M42"/>
    </sheetView>
  </sheetViews>
  <sheetFormatPr defaultColWidth="9" defaultRowHeight="16.149999999999999" customHeight="1" outlineLevelRow="2" x14ac:dyDescent="0.25"/>
  <cols>
    <col min="1" max="1" width="9" style="2"/>
    <col min="2" max="2" width="39.140625" style="2" customWidth="1"/>
    <col min="3" max="3" width="10.5703125" style="2" bestFit="1" customWidth="1"/>
    <col min="4" max="14" width="14.7109375" style="2" customWidth="1"/>
    <col min="15" max="15" width="15.7109375" style="2" bestFit="1" customWidth="1"/>
    <col min="16" max="16" width="17" style="2" customWidth="1"/>
    <col min="17" max="16384" width="9" style="2"/>
  </cols>
  <sheetData>
    <row r="2" spans="2:16" ht="16.149999999999999" customHeight="1" x14ac:dyDescent="0.25">
      <c r="B2" s="1" t="s">
        <v>106</v>
      </c>
    </row>
    <row r="3" spans="2:16" ht="16.149999999999999" customHeight="1" thickBot="1" x14ac:dyDescent="0.3">
      <c r="B3" s="320" t="s">
        <v>81</v>
      </c>
      <c r="C3" s="320"/>
      <c r="D3" s="320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5" spans="2:16" ht="16.149999999999999" customHeight="1" x14ac:dyDescent="0.25">
      <c r="B5" s="309" t="str">
        <f xml:space="preserve"> $B$2&amp; " Valuation Summary"</f>
        <v>Company name Valuation Summary</v>
      </c>
      <c r="C5" s="309"/>
      <c r="D5" s="309"/>
      <c r="E5" s="309"/>
      <c r="F5" s="309"/>
      <c r="G5" s="309"/>
      <c r="H5" s="309"/>
      <c r="I5" s="309"/>
      <c r="J5" s="309"/>
      <c r="K5" s="309"/>
      <c r="L5" s="309"/>
      <c r="M5" s="309"/>
      <c r="N5" s="259"/>
      <c r="O5" s="260"/>
      <c r="P5" s="260"/>
    </row>
    <row r="6" spans="2:16" ht="16.149999999999999" customHeight="1" x14ac:dyDescent="0.25">
      <c r="B6" s="5"/>
      <c r="C6" s="5"/>
      <c r="D6" s="5"/>
      <c r="E6" s="5"/>
    </row>
    <row r="7" spans="2:16" ht="16.149999999999999" customHeight="1" thickBot="1" x14ac:dyDescent="0.3">
      <c r="B7" s="6" t="s">
        <v>0</v>
      </c>
      <c r="C7" s="302"/>
      <c r="D7" s="181">
        <v>2016</v>
      </c>
      <c r="E7" s="181">
        <f>D7+1</f>
        <v>2017</v>
      </c>
      <c r="F7" s="181">
        <f t="shared" ref="F7:J7" si="0">E7+1</f>
        <v>2018</v>
      </c>
      <c r="G7" s="181">
        <f t="shared" si="0"/>
        <v>2019</v>
      </c>
      <c r="H7" s="181">
        <f t="shared" si="0"/>
        <v>2020</v>
      </c>
      <c r="I7" s="181">
        <f t="shared" si="0"/>
        <v>2021</v>
      </c>
      <c r="J7" s="181">
        <f t="shared" si="0"/>
        <v>2022</v>
      </c>
      <c r="K7" s="181">
        <f t="shared" ref="K7" si="1">J7+1</f>
        <v>2023</v>
      </c>
      <c r="L7" s="181">
        <f t="shared" ref="L7" si="2">K7+1</f>
        <v>2024</v>
      </c>
      <c r="M7" s="181">
        <f t="shared" ref="M7" si="3">L7+1</f>
        <v>2025</v>
      </c>
      <c r="N7" s="94"/>
      <c r="O7" s="332"/>
      <c r="P7" s="332"/>
    </row>
    <row r="8" spans="2:16" ht="16.149999999999999" customHeight="1" x14ac:dyDescent="0.25">
      <c r="B8" s="152" t="s">
        <v>107</v>
      </c>
      <c r="C8" s="7"/>
      <c r="E8" s="8"/>
      <c r="G8" s="8"/>
      <c r="I8" s="8"/>
      <c r="K8" s="8"/>
      <c r="M8" s="8"/>
      <c r="O8" s="324"/>
      <c r="P8" s="325"/>
    </row>
    <row r="9" spans="2:16" ht="16.149999999999999" customHeight="1" x14ac:dyDescent="0.25">
      <c r="B9" s="152" t="s">
        <v>93</v>
      </c>
      <c r="C9" s="7"/>
      <c r="D9" s="293"/>
      <c r="E9" s="294"/>
      <c r="F9" s="293"/>
      <c r="G9" s="293"/>
      <c r="H9" s="293"/>
      <c r="I9" s="293"/>
      <c r="J9" s="293"/>
      <c r="K9" s="293"/>
      <c r="L9" s="293"/>
      <c r="M9" s="293"/>
      <c r="O9" s="324"/>
      <c r="P9" s="325"/>
    </row>
    <row r="10" spans="2:16" ht="16.149999999999999" customHeight="1" x14ac:dyDescent="0.25">
      <c r="B10" s="10" t="s">
        <v>89</v>
      </c>
      <c r="C10" s="11"/>
      <c r="D10" s="160"/>
      <c r="E10" s="161"/>
      <c r="F10" s="160"/>
      <c r="G10" s="161"/>
      <c r="H10" s="160"/>
      <c r="I10" s="161"/>
      <c r="J10" s="160"/>
      <c r="K10" s="161"/>
      <c r="L10" s="160"/>
      <c r="M10" s="161"/>
      <c r="N10" s="12"/>
      <c r="O10" s="324"/>
      <c r="P10" s="325"/>
    </row>
    <row r="11" spans="2:16" ht="16.149999999999999" customHeight="1" x14ac:dyDescent="0.25">
      <c r="B11" s="2" t="s">
        <v>1</v>
      </c>
      <c r="D11" s="284"/>
      <c r="E11" s="285"/>
      <c r="F11" s="284"/>
      <c r="G11" s="285"/>
      <c r="H11" s="286"/>
      <c r="I11" s="287"/>
      <c r="J11" s="288"/>
      <c r="K11" s="289"/>
      <c r="L11" s="288"/>
      <c r="M11" s="289"/>
      <c r="N11" s="12"/>
      <c r="O11" s="324"/>
      <c r="P11" s="325"/>
    </row>
    <row r="12" spans="2:16" ht="16.149999999999999" customHeight="1" x14ac:dyDescent="0.25">
      <c r="B12" s="11" t="s">
        <v>2</v>
      </c>
      <c r="C12" s="11"/>
      <c r="D12" s="13">
        <f>+D10*D11</f>
        <v>0</v>
      </c>
      <c r="E12" s="14">
        <f>+E10*E11</f>
        <v>0</v>
      </c>
      <c r="F12" s="13">
        <f>+F10*F11</f>
        <v>0</v>
      </c>
      <c r="G12" s="14">
        <f>+G10*G11</f>
        <v>0</v>
      </c>
      <c r="H12" s="15">
        <f t="shared" ref="H12:M12" si="4">+H11*H10</f>
        <v>0</v>
      </c>
      <c r="I12" s="16">
        <f t="shared" si="4"/>
        <v>0</v>
      </c>
      <c r="J12" s="182">
        <f t="shared" si="4"/>
        <v>0</v>
      </c>
      <c r="K12" s="16">
        <f t="shared" si="4"/>
        <v>0</v>
      </c>
      <c r="L12" s="15">
        <f t="shared" si="4"/>
        <v>0</v>
      </c>
      <c r="M12" s="16">
        <f t="shared" si="4"/>
        <v>0</v>
      </c>
      <c r="N12" s="182"/>
      <c r="O12" s="324"/>
      <c r="P12" s="325"/>
    </row>
    <row r="13" spans="2:16" ht="16.149999999999999" customHeight="1" x14ac:dyDescent="0.25">
      <c r="B13" s="180" t="inlineStr">
        <is>
          <t>Less: Cash + securities</t>
        </is>
      </c>
      <c r="D13" s="17">
        <f>D53+D59</f>
      </c>
      <c r="E13" s="18">
        <f>E53+E59</f>
      </c>
      <c r="F13" s="17">
        <f>F53+F59</f>
      </c>
      <c r="G13" s="18">
        <f>G53+G59</f>
      </c>
      <c r="H13" s="17">
        <f>H53+H59</f>
      </c>
      <c r="I13" s="18">
        <f>I53+I59</f>
      </c>
      <c r="J13" s="183">
        <f>J53+J59</f>
      </c>
      <c r="K13" s="18">
        <f>K53+K59</f>
      </c>
      <c r="L13" s="17">
        <f>L53+L59</f>
      </c>
      <c r="M13" s="18">
        <f>M53+M59</f>
      </c>
      <c r="N13" s="183"/>
      <c r="O13" s="324"/>
      <c r="P13" s="325"/>
    </row>
    <row r="14" spans="2:16" ht="16.149999999999999" customHeight="1" x14ac:dyDescent="0.25">
      <c r="B14" s="180" t="s">
        <v>91</v>
      </c>
      <c r="D14" s="19">
        <f>D64</f>
        <v>0</v>
      </c>
      <c r="E14" s="20">
        <f t="shared" ref="E14:I14" si="9">E64</f>
        <v>0</v>
      </c>
      <c r="F14" s="19">
        <f t="shared" si="9"/>
        <v>0</v>
      </c>
      <c r="G14" s="20">
        <f t="shared" si="9"/>
        <v>0</v>
      </c>
      <c r="H14" s="19">
        <f t="shared" si="9"/>
        <v>0</v>
      </c>
      <c r="I14" s="20">
        <f t="shared" si="9"/>
        <v>0</v>
      </c>
      <c r="J14" s="184">
        <f t="shared" ref="J14:K14" si="10">J64</f>
        <v>0</v>
      </c>
      <c r="K14" s="20">
        <f t="shared" si="10"/>
        <v>0</v>
      </c>
      <c r="L14" s="19">
        <f t="shared" ref="L14" si="11">L64</f>
        <v>0</v>
      </c>
      <c r="M14" s="20">
        <f t="shared" ref="M14" si="12">M64</f>
        <v>0</v>
      </c>
      <c r="N14" s="184"/>
      <c r="O14" s="324"/>
      <c r="P14" s="325"/>
    </row>
    <row r="15" spans="2:16" ht="16.149999999999999" customHeight="1" x14ac:dyDescent="0.25">
      <c r="B15" s="11" t="s">
        <v>3</v>
      </c>
      <c r="C15" s="11"/>
      <c r="D15" s="13">
        <f t="shared" ref="D15:I15" si="13">D12-D13+D14</f>
        <v>0</v>
      </c>
      <c r="E15" s="14">
        <f t="shared" si="13"/>
        <v>0</v>
      </c>
      <c r="F15" s="13">
        <f t="shared" si="13"/>
        <v>0</v>
      </c>
      <c r="G15" s="14">
        <f t="shared" si="13"/>
        <v>0</v>
      </c>
      <c r="H15" s="13">
        <f t="shared" si="13"/>
        <v>0</v>
      </c>
      <c r="I15" s="14">
        <f t="shared" si="13"/>
        <v>0</v>
      </c>
      <c r="J15" s="185">
        <f t="shared" ref="J15:K15" si="14">J12-J13+J14</f>
        <v>0</v>
      </c>
      <c r="K15" s="14">
        <f t="shared" si="14"/>
        <v>0</v>
      </c>
      <c r="L15" s="13">
        <f t="shared" ref="L15" si="15">L12-L13+L14</f>
        <v>0</v>
      </c>
      <c r="M15" s="14">
        <f t="shared" ref="M15" si="16">M12-M13+M14</f>
        <v>0</v>
      </c>
      <c r="N15" s="186"/>
      <c r="O15" s="324"/>
      <c r="P15" s="325"/>
    </row>
    <row r="16" spans="2:16" ht="16.149999999999999" customHeight="1" x14ac:dyDescent="0.25">
      <c r="B16" s="2" t="s">
        <v>4</v>
      </c>
      <c r="D16" s="21" t="e">
        <f t="shared" ref="D16:I16" si="17">+D15/D11</f>
        <v>#DIV/0!</v>
      </c>
      <c r="E16" s="22" t="e">
        <f t="shared" si="17"/>
        <v>#DIV/0!</v>
      </c>
      <c r="F16" s="21" t="e">
        <f t="shared" si="17"/>
        <v>#DIV/0!</v>
      </c>
      <c r="G16" s="22" t="e">
        <f t="shared" si="17"/>
        <v>#DIV/0!</v>
      </c>
      <c r="H16" s="21" t="e">
        <f t="shared" si="17"/>
        <v>#DIV/0!</v>
      </c>
      <c r="I16" s="22" t="e">
        <f t="shared" si="17"/>
        <v>#DIV/0!</v>
      </c>
      <c r="J16" s="187" t="e">
        <f t="shared" ref="J16:K16" si="18">+J15/J11</f>
        <v>#DIV/0!</v>
      </c>
      <c r="K16" s="22" t="e">
        <f t="shared" si="18"/>
        <v>#DIV/0!</v>
      </c>
      <c r="L16" s="21" t="e">
        <f t="shared" ref="L16" si="19">+L15/L11</f>
        <v>#DIV/0!</v>
      </c>
      <c r="M16" s="22" t="e">
        <f t="shared" ref="M16" si="20">+M15/M11</f>
        <v>#DIV/0!</v>
      </c>
      <c r="N16" s="187"/>
      <c r="O16" s="324"/>
      <c r="P16" s="324"/>
    </row>
    <row r="17" spans="2:16" ht="16.149999999999999" customHeight="1" x14ac:dyDescent="0.25">
      <c r="B17" s="180" t="s">
        <v>92</v>
      </c>
      <c r="D17" s="162">
        <f>D68</f>
        <v>0</v>
      </c>
      <c r="E17" s="18">
        <f t="shared" ref="E17:I17" si="21">E68</f>
        <v>0</v>
      </c>
      <c r="F17" s="17">
        <f t="shared" si="21"/>
        <v>0</v>
      </c>
      <c r="G17" s="18">
        <f t="shared" si="21"/>
        <v>0</v>
      </c>
      <c r="H17" s="17">
        <f t="shared" si="21"/>
        <v>0</v>
      </c>
      <c r="I17" s="18">
        <f t="shared" si="21"/>
        <v>0</v>
      </c>
      <c r="J17" s="183">
        <f t="shared" ref="J17:K17" si="22">J68</f>
        <v>0</v>
      </c>
      <c r="K17" s="18">
        <f t="shared" si="22"/>
        <v>0</v>
      </c>
      <c r="L17" s="17">
        <f t="shared" ref="L17" si="23">L68</f>
        <v>0</v>
      </c>
      <c r="M17" s="18">
        <f t="shared" ref="M17" si="24">M68</f>
        <v>0</v>
      </c>
      <c r="N17" s="183"/>
      <c r="O17" s="326"/>
      <c r="P17" s="325"/>
    </row>
    <row r="18" spans="2:16" ht="16.149999999999999" customHeight="1" x14ac:dyDescent="0.25">
      <c r="F18" s="24"/>
      <c r="H18" s="6"/>
      <c r="I18" s="25"/>
      <c r="J18" s="25"/>
      <c r="K18" s="25"/>
      <c r="L18" s="25"/>
      <c r="M18" s="25"/>
      <c r="N18" s="25"/>
      <c r="O18" s="327"/>
      <c r="P18" s="328"/>
    </row>
    <row r="19" spans="2:16" ht="16.149999999999999" customHeight="1" x14ac:dyDescent="0.25">
      <c r="E19" s="26"/>
      <c r="H19" s="6"/>
      <c r="I19" s="25"/>
      <c r="J19" s="25"/>
      <c r="K19" s="25"/>
      <c r="L19" s="25"/>
      <c r="M19" s="25"/>
      <c r="N19" s="25"/>
      <c r="O19" s="329"/>
      <c r="P19" s="328"/>
    </row>
    <row r="20" spans="2:16" ht="16.149999999999999" customHeight="1" x14ac:dyDescent="0.25">
      <c r="B20" s="321" t="str">
        <f>"Summary Values - " &amp; M7 &amp; " (per share basis)"</f>
        <v>Summary Values - 2025 (per share basis)</v>
      </c>
      <c r="C20" s="322"/>
      <c r="D20" s="322"/>
      <c r="E20" s="323"/>
      <c r="O20" s="324"/>
      <c r="P20" s="330"/>
    </row>
    <row r="21" spans="2:16" ht="16.149999999999999" customHeight="1" x14ac:dyDescent="0.25">
      <c r="B21" s="9" t="s">
        <v>7</v>
      </c>
      <c r="D21" s="308" t="e">
        <f>M138/M11</f>
        <v>#DIV/0!</v>
      </c>
      <c r="E21" s="27" t="e">
        <f>+D21/$D$25</f>
        <v>#DIV/0!</v>
      </c>
      <c r="H21" s="28"/>
      <c r="O21" s="326"/>
      <c r="P21" s="330"/>
    </row>
    <row r="22" spans="2:16" ht="16.149999999999999" customHeight="1" x14ac:dyDescent="0.25">
      <c r="B22" s="179" t="s">
        <v>88</v>
      </c>
      <c r="D22" s="308" t="e">
        <f>M139/M11</f>
        <v>#DIV/0!</v>
      </c>
      <c r="E22" s="27" t="e">
        <f>+D22/$D$25</f>
        <v>#DIV/0!</v>
      </c>
      <c r="G22" s="11"/>
      <c r="H22" s="1"/>
      <c r="I22" s="29"/>
      <c r="J22" s="29"/>
      <c r="K22" s="29"/>
      <c r="L22" s="29"/>
      <c r="M22" s="29"/>
      <c r="N22" s="29"/>
      <c r="O22" s="324"/>
      <c r="P22" s="331"/>
    </row>
    <row r="23" spans="2:16" ht="16.149999999999999" customHeight="1" x14ac:dyDescent="0.25">
      <c r="B23" s="9" t="s">
        <v>6</v>
      </c>
      <c r="D23" s="308" t="e">
        <f>M140/M11</f>
        <v>#DIV/0!</v>
      </c>
      <c r="E23" s="27" t="e">
        <f>+D23/$D$25</f>
        <v>#DIV/0!</v>
      </c>
      <c r="I23" s="29"/>
      <c r="J23" s="29"/>
      <c r="K23" s="29"/>
      <c r="L23" s="29"/>
      <c r="M23" s="29"/>
      <c r="N23" s="29"/>
      <c r="O23" s="324"/>
      <c r="P23" s="331"/>
    </row>
    <row r="24" spans="2:16" ht="16.149999999999999" customHeight="1" x14ac:dyDescent="0.25">
      <c r="B24" s="9" t="s">
        <v>9</v>
      </c>
      <c r="D24" s="308" t="e">
        <f>M142/M11</f>
        <v>#DIV/0!</v>
      </c>
      <c r="E24" s="27" t="e">
        <f>+D24/$D$25</f>
        <v>#DIV/0!</v>
      </c>
      <c r="I24" s="30"/>
      <c r="J24" s="30"/>
      <c r="K24" s="30"/>
      <c r="L24" s="30"/>
      <c r="M24" s="30"/>
      <c r="N24" s="30"/>
      <c r="O24" s="324"/>
      <c r="P24" s="178"/>
    </row>
    <row r="25" spans="2:16" ht="16.149999999999999" customHeight="1" x14ac:dyDescent="0.25">
      <c r="B25" s="31" t="s">
        <v>10</v>
      </c>
      <c r="C25" s="32"/>
      <c r="D25" s="297" t="e">
        <f>+D23+D24</f>
        <v>#DIV/0!</v>
      </c>
      <c r="E25" s="33"/>
      <c r="I25" s="30"/>
      <c r="J25" s="30"/>
      <c r="K25" s="30"/>
      <c r="L25" s="30"/>
      <c r="M25" s="30"/>
      <c r="N25" s="30"/>
      <c r="O25" s="324"/>
      <c r="P25" s="178"/>
    </row>
    <row r="26" spans="2:16" ht="16.149999999999999" customHeight="1" x14ac:dyDescent="0.25">
      <c r="I26" s="30"/>
      <c r="J26" s="30"/>
      <c r="K26" s="30"/>
      <c r="L26" s="30"/>
      <c r="M26" s="30"/>
      <c r="N26" s="30"/>
      <c r="P26" s="178"/>
    </row>
    <row r="27" spans="2:16" ht="16.149999999999999" customHeight="1" x14ac:dyDescent="0.25">
      <c r="I27" s="34"/>
      <c r="J27" s="34"/>
      <c r="K27" s="34"/>
      <c r="L27" s="34"/>
      <c r="M27" s="34"/>
      <c r="N27" s="34"/>
    </row>
    <row r="28" spans="2:16" ht="16.149999999999999" customHeight="1" x14ac:dyDescent="0.25">
      <c r="B28" s="309" t="str">
        <f xml:space="preserve"> $B$2&amp; " Historical Financials"</f>
        <v>Company name Historical Financials</v>
      </c>
      <c r="C28" s="309"/>
      <c r="D28" s="309"/>
      <c r="E28" s="309"/>
      <c r="F28" s="309"/>
      <c r="G28" s="309"/>
      <c r="H28" s="309"/>
      <c r="I28" s="309"/>
      <c r="J28" s="309"/>
      <c r="K28" s="309"/>
      <c r="L28" s="309"/>
      <c r="M28" s="309"/>
      <c r="N28" s="260"/>
      <c r="O28" s="260"/>
      <c r="P28" s="260"/>
    </row>
    <row r="29" spans="2:16" ht="16.149999999999999" customHeight="1" outlineLevel="1" x14ac:dyDescent="0.25">
      <c r="B29" s="11" t="s">
        <v>11</v>
      </c>
    </row>
    <row r="30" spans="2:16" ht="16.149999999999999" customHeight="1" outlineLevel="1" x14ac:dyDescent="0.25">
      <c r="D30" s="188">
        <f>D7</f>
        <v>2016</v>
      </c>
      <c r="E30" s="188">
        <f>D30+1</f>
        <v>2017</v>
      </c>
      <c r="F30" s="188">
        <f t="shared" ref="F30:J30" si="25">E30+1</f>
        <v>2018</v>
      </c>
      <c r="G30" s="188">
        <f t="shared" si="25"/>
        <v>2019</v>
      </c>
      <c r="H30" s="188">
        <f t="shared" si="25"/>
        <v>2020</v>
      </c>
      <c r="I30" s="188">
        <f t="shared" si="25"/>
        <v>2021</v>
      </c>
      <c r="J30" s="188">
        <f t="shared" si="25"/>
        <v>2022</v>
      </c>
      <c r="K30" s="188">
        <f>+K7</f>
        <v>2023</v>
      </c>
      <c r="L30" s="188">
        <f>+L7</f>
        <v>2024</v>
      </c>
      <c r="M30" s="188">
        <f>+M7</f>
        <v>2025</v>
      </c>
      <c r="N30" s="35"/>
      <c r="O30" s="35"/>
    </row>
    <row r="31" spans="2:16" ht="16.149999999999999" customHeight="1" outlineLevel="1" x14ac:dyDescent="0.25">
      <c r="B31" s="93" t="s">
        <v>102</v>
      </c>
      <c r="D31" s="36"/>
      <c r="E31" s="67"/>
      <c r="F31" s="36"/>
      <c r="G31" s="67"/>
      <c r="H31" s="36"/>
      <c r="I31" s="67"/>
      <c r="J31" s="36"/>
      <c r="K31" s="67"/>
      <c r="L31" s="36"/>
      <c r="M31" s="67"/>
      <c r="N31" s="36"/>
      <c r="O31" s="36"/>
    </row>
    <row r="32" spans="2:16" ht="16.149999999999999" customHeight="1" outlineLevel="1" x14ac:dyDescent="0.25">
      <c r="B32" s="93" t="s">
        <v>108</v>
      </c>
      <c r="D32" s="158"/>
      <c r="E32" s="67"/>
      <c r="F32" s="36"/>
      <c r="G32" s="67"/>
      <c r="H32" s="36"/>
      <c r="I32" s="67"/>
      <c r="J32" s="189"/>
      <c r="K32" s="252"/>
      <c r="L32" s="189"/>
      <c r="M32" s="252"/>
      <c r="N32" s="36"/>
      <c r="O32" s="37"/>
    </row>
    <row r="33" spans="2:15" ht="16.149999999999999" customHeight="1" outlineLevel="1" x14ac:dyDescent="0.25">
      <c r="B33" s="38" t="s">
        <v>12</v>
      </c>
      <c r="D33" s="39">
        <f>SUM(D31:D32)</f>
        <v>0</v>
      </c>
      <c r="E33" s="40">
        <f t="shared" ref="E33:H33" si="26">SUM(E31:E32)</f>
        <v>0</v>
      </c>
      <c r="F33" s="41">
        <f t="shared" si="26"/>
        <v>0</v>
      </c>
      <c r="G33" s="42">
        <f t="shared" si="26"/>
        <v>0</v>
      </c>
      <c r="H33" s="41">
        <f t="shared" si="26"/>
        <v>0</v>
      </c>
      <c r="I33" s="42">
        <f>SUM(I31:I32)</f>
        <v>0</v>
      </c>
      <c r="J33" s="43">
        <f>SUM(J31:J32)</f>
        <v>0</v>
      </c>
      <c r="K33" s="62">
        <f>SUM(K31:K32)</f>
        <v>0</v>
      </c>
      <c r="L33" s="43">
        <f>SUM(L31:L32)</f>
        <v>0</v>
      </c>
      <c r="M33" s="62">
        <f>SUM(M31:M32)</f>
        <v>0</v>
      </c>
      <c r="N33" s="43"/>
      <c r="O33" s="43"/>
    </row>
    <row r="34" spans="2:15" ht="16.149999999999999" customHeight="1" outlineLevel="1" x14ac:dyDescent="0.25">
      <c r="C34" s="44" t="s">
        <v>13</v>
      </c>
      <c r="D34" s="45" t="e">
        <f>D33/D31</f>
        <v>#DIV/0!</v>
      </c>
      <c r="E34" s="46" t="e">
        <f t="shared" ref="E34:I34" si="27">E33/E31</f>
        <v>#DIV/0!</v>
      </c>
      <c r="F34" s="47" t="e">
        <f t="shared" si="27"/>
        <v>#DIV/0!</v>
      </c>
      <c r="G34" s="48" t="e">
        <f t="shared" si="27"/>
        <v>#DIV/0!</v>
      </c>
      <c r="H34" s="47" t="e">
        <f t="shared" si="27"/>
        <v>#DIV/0!</v>
      </c>
      <c r="I34" s="48" t="e">
        <f t="shared" si="27"/>
        <v>#DIV/0!</v>
      </c>
      <c r="J34" s="47" t="e">
        <f t="shared" ref="J34:K34" si="28">J33/J31</f>
        <v>#DIV/0!</v>
      </c>
      <c r="K34" s="48" t="e">
        <f t="shared" si="28"/>
        <v>#DIV/0!</v>
      </c>
      <c r="L34" s="47" t="e">
        <f t="shared" ref="L34" si="29">L33/L31</f>
        <v>#DIV/0!</v>
      </c>
      <c r="M34" s="48" t="e">
        <f t="shared" ref="M34" si="30">M33/M31</f>
        <v>#DIV/0!</v>
      </c>
      <c r="N34" s="47"/>
      <c r="O34" s="47"/>
    </row>
    <row r="35" spans="2:15" ht="16.149999999999999" customHeight="1" outlineLevel="1" x14ac:dyDescent="0.25">
      <c r="D35" s="49"/>
      <c r="E35" s="50"/>
      <c r="G35" s="8"/>
      <c r="I35" s="8"/>
      <c r="K35" s="8"/>
      <c r="M35" s="8"/>
    </row>
    <row r="36" spans="2:15" ht="16.149999999999999" customHeight="1" outlineLevel="1" x14ac:dyDescent="0.25">
      <c r="B36" s="93" t="s">
        <v>14</v>
      </c>
      <c r="D36" s="59"/>
      <c r="E36" s="60"/>
      <c r="F36" s="59"/>
      <c r="G36" s="60"/>
      <c r="H36" s="59"/>
      <c r="I36" s="52"/>
      <c r="J36" s="51"/>
      <c r="K36" s="52"/>
      <c r="L36" s="51"/>
      <c r="M36" s="52"/>
      <c r="N36" s="51"/>
      <c r="O36" s="37"/>
    </row>
    <row r="37" spans="2:15" ht="16.149999999999999" customHeight="1" outlineLevel="1" x14ac:dyDescent="0.25">
      <c r="D37" s="30"/>
      <c r="E37" s="53"/>
      <c r="F37" s="30"/>
      <c r="G37" s="53"/>
      <c r="H37" s="30"/>
      <c r="I37" s="8"/>
      <c r="K37" s="8"/>
      <c r="M37" s="8"/>
      <c r="O37" s="54"/>
    </row>
    <row r="38" spans="2:15" ht="16.149999999999999" customHeight="1" outlineLevel="1" x14ac:dyDescent="0.25">
      <c r="B38" s="2" t="s">
        <v>15</v>
      </c>
      <c r="D38" s="137">
        <f>+D33-(D36+D37)</f>
        <v>0</v>
      </c>
      <c r="E38" s="156">
        <f t="shared" ref="E38:I38" si="31">+E33-(E36+E37)</f>
        <v>0</v>
      </c>
      <c r="F38" s="137">
        <f t="shared" si="31"/>
        <v>0</v>
      </c>
      <c r="G38" s="156">
        <f t="shared" si="31"/>
        <v>0</v>
      </c>
      <c r="H38" s="137">
        <f>+H33-(H36+H37)</f>
        <v>0</v>
      </c>
      <c r="I38" s="56">
        <f t="shared" si="31"/>
        <v>0</v>
      </c>
      <c r="J38" s="55">
        <f t="shared" ref="J38:M38" si="32">+J33-(J36+J37)</f>
        <v>0</v>
      </c>
      <c r="K38" s="56">
        <f t="shared" si="32"/>
        <v>0</v>
      </c>
      <c r="L38" s="55">
        <f t="shared" ref="L38" si="33">+L33-(L36+L37)</f>
        <v>0</v>
      </c>
      <c r="M38" s="56">
        <f t="shared" si="32"/>
        <v>0</v>
      </c>
      <c r="N38" s="55"/>
      <c r="O38" s="55"/>
    </row>
    <row r="39" spans="2:15" ht="16.149999999999999" customHeight="1" outlineLevel="1" x14ac:dyDescent="0.25">
      <c r="C39" s="44" t="s">
        <v>16</v>
      </c>
      <c r="D39" s="47" t="e">
        <f>D38/D31</f>
        <v>#DIV/0!</v>
      </c>
      <c r="E39" s="48" t="e">
        <f t="shared" ref="E39:I39" si="34">E38/E31</f>
        <v>#DIV/0!</v>
      </c>
      <c r="F39" s="47" t="e">
        <f t="shared" si="34"/>
        <v>#DIV/0!</v>
      </c>
      <c r="G39" s="48" t="e">
        <f t="shared" si="34"/>
        <v>#DIV/0!</v>
      </c>
      <c r="H39" s="47" t="e">
        <f t="shared" si="34"/>
        <v>#DIV/0!</v>
      </c>
      <c r="I39" s="48" t="e">
        <f t="shared" si="34"/>
        <v>#DIV/0!</v>
      </c>
      <c r="J39" s="47" t="e">
        <f t="shared" ref="J39:K39" si="35">J38/J31</f>
        <v>#DIV/0!</v>
      </c>
      <c r="K39" s="48" t="e">
        <f t="shared" si="35"/>
        <v>#DIV/0!</v>
      </c>
      <c r="L39" s="47" t="e">
        <f t="shared" ref="L39" si="36">L38/L31</f>
        <v>#DIV/0!</v>
      </c>
      <c r="M39" s="48" t="e">
        <f t="shared" ref="M39" si="37">M38/M31</f>
        <v>#DIV/0!</v>
      </c>
      <c r="N39" s="47"/>
      <c r="O39" s="47"/>
    </row>
    <row r="40" spans="2:15" ht="16.149999999999999" customHeight="1" outlineLevel="1" x14ac:dyDescent="0.25">
      <c r="D40" s="57"/>
      <c r="E40" s="58"/>
      <c r="F40" s="57"/>
      <c r="G40" s="8"/>
      <c r="I40" s="8"/>
      <c r="K40" s="8"/>
      <c r="M40" s="8"/>
    </row>
    <row r="41" spans="2:15" ht="16.149999999999999" customHeight="1" outlineLevel="1" x14ac:dyDescent="0.25">
      <c r="B41" s="93" t="s">
        <v>17</v>
      </c>
      <c r="D41" s="59"/>
      <c r="E41" s="60"/>
      <c r="F41" s="59"/>
      <c r="G41" s="60"/>
      <c r="H41" s="59"/>
      <c r="I41" s="60"/>
      <c r="J41" s="59"/>
      <c r="K41" s="52"/>
      <c r="L41" s="51"/>
      <c r="M41" s="52"/>
      <c r="N41" s="59"/>
      <c r="O41" s="61"/>
    </row>
    <row r="42" spans="2:15" ht="16.149999999999999" customHeight="1" outlineLevel="1" x14ac:dyDescent="0.25">
      <c r="B42" s="2" t="s">
        <v>18</v>
      </c>
      <c r="D42" s="43">
        <f>+D38+D41</f>
        <v>0</v>
      </c>
      <c r="E42" s="62">
        <f t="shared" ref="E42:M42" si="38">+E38+E41</f>
        <v>0</v>
      </c>
      <c r="F42" s="43">
        <f t="shared" si="38"/>
        <v>0</v>
      </c>
      <c r="G42" s="62">
        <f t="shared" si="38"/>
        <v>0</v>
      </c>
      <c r="H42" s="43">
        <f t="shared" si="38"/>
        <v>0</v>
      </c>
      <c r="I42" s="62">
        <f t="shared" si="38"/>
        <v>0</v>
      </c>
      <c r="J42" s="43">
        <f t="shared" si="38"/>
        <v>0</v>
      </c>
      <c r="K42" s="62">
        <f t="shared" si="38"/>
        <v>0</v>
      </c>
      <c r="L42" s="43">
        <f t="shared" si="38"/>
        <v>0</v>
      </c>
      <c r="M42" s="62">
        <f t="shared" si="38"/>
        <v>0</v>
      </c>
      <c r="N42" s="43"/>
      <c r="O42" s="43"/>
    </row>
    <row r="43" spans="2:15" ht="16.149999999999999" customHeight="1" outlineLevel="1" x14ac:dyDescent="0.25">
      <c r="D43" s="43"/>
      <c r="E43" s="62"/>
      <c r="F43" s="43"/>
      <c r="G43" s="62"/>
      <c r="H43" s="43"/>
      <c r="I43" s="8"/>
      <c r="K43" s="8"/>
      <c r="M43" s="8"/>
      <c r="O43" s="43"/>
    </row>
    <row r="44" spans="2:15" ht="16.149999999999999" customHeight="1" outlineLevel="1" x14ac:dyDescent="0.25">
      <c r="B44" s="93" t="s">
        <v>19</v>
      </c>
      <c r="C44" s="63"/>
      <c r="D44" s="157"/>
      <c r="E44" s="60"/>
      <c r="F44" s="157"/>
      <c r="G44" s="60"/>
      <c r="H44" s="157"/>
      <c r="I44" s="52"/>
      <c r="J44" s="51"/>
      <c r="K44" s="52"/>
      <c r="L44" s="51"/>
      <c r="M44" s="52"/>
      <c r="N44" s="51"/>
      <c r="O44" s="37"/>
    </row>
    <row r="45" spans="2:15" ht="16.149999999999999" customHeight="1" outlineLevel="1" x14ac:dyDescent="0.25">
      <c r="C45" s="44" t="s">
        <v>20</v>
      </c>
      <c r="D45" s="47" t="e">
        <f t="shared" ref="D45:I45" si="39">D44/D42</f>
        <v>#DIV/0!</v>
      </c>
      <c r="E45" s="48" t="e">
        <f t="shared" si="39"/>
        <v>#DIV/0!</v>
      </c>
      <c r="F45" s="47" t="e">
        <f t="shared" si="39"/>
        <v>#DIV/0!</v>
      </c>
      <c r="G45" s="48" t="e">
        <f t="shared" si="39"/>
        <v>#DIV/0!</v>
      </c>
      <c r="H45" s="47" t="e">
        <f t="shared" si="39"/>
        <v>#DIV/0!</v>
      </c>
      <c r="I45" s="48" t="e">
        <f t="shared" si="39"/>
        <v>#DIV/0!</v>
      </c>
      <c r="J45" s="47" t="e">
        <f t="shared" ref="J45" si="40">J44/J42</f>
        <v>#DIV/0!</v>
      </c>
      <c r="K45" s="48" t="e">
        <f t="shared" ref="K45:M45" si="41">K44/K42</f>
        <v>#DIV/0!</v>
      </c>
      <c r="L45" s="47" t="e">
        <f t="shared" ref="L45" si="42">L44/L42</f>
        <v>#DIV/0!</v>
      </c>
      <c r="M45" s="48" t="e">
        <f t="shared" si="41"/>
        <v>#DIV/0!</v>
      </c>
      <c r="N45" s="47"/>
      <c r="O45" s="47"/>
    </row>
    <row r="46" spans="2:15" ht="16.149999999999999" customHeight="1" outlineLevel="1" x14ac:dyDescent="0.25">
      <c r="B46" s="93" t="s">
        <v>87</v>
      </c>
      <c r="C46" s="44"/>
      <c r="D46" s="47"/>
      <c r="E46" s="164"/>
      <c r="F46" s="165"/>
      <c r="G46" s="164"/>
      <c r="H46" s="165"/>
      <c r="I46" s="163"/>
      <c r="J46" s="196"/>
      <c r="K46" s="251"/>
      <c r="L46" s="196"/>
      <c r="M46" s="251"/>
      <c r="N46" s="47"/>
      <c r="O46" s="47"/>
    </row>
    <row r="47" spans="2:15" ht="16.149999999999999" customHeight="1" outlineLevel="1" x14ac:dyDescent="0.25">
      <c r="D47" s="57"/>
      <c r="E47" s="58"/>
      <c r="F47" s="57"/>
      <c r="G47" s="8"/>
      <c r="I47" s="8"/>
      <c r="K47" s="8"/>
      <c r="M47" s="8"/>
    </row>
    <row r="48" spans="2:15" ht="16.149999999999999" customHeight="1" outlineLevel="1" x14ac:dyDescent="0.25">
      <c r="B48" s="11" t="s">
        <v>5</v>
      </c>
      <c r="C48" s="11"/>
      <c r="D48" s="64">
        <f>+D42-D44+D46</f>
        <v>0</v>
      </c>
      <c r="E48" s="65">
        <f t="shared" ref="E48:I48" si="43">+E42-E44+E46</f>
        <v>0</v>
      </c>
      <c r="F48" s="64">
        <f t="shared" si="43"/>
        <v>0</v>
      </c>
      <c r="G48" s="65">
        <f t="shared" si="43"/>
        <v>0</v>
      </c>
      <c r="H48" s="64">
        <f t="shared" si="43"/>
        <v>0</v>
      </c>
      <c r="I48" s="65">
        <f t="shared" si="43"/>
        <v>0</v>
      </c>
      <c r="J48" s="64">
        <f t="shared" ref="J48" si="44">+J42-J44+J46</f>
        <v>0</v>
      </c>
      <c r="K48" s="65">
        <f t="shared" ref="K48" si="45">+K42-K44+K46</f>
        <v>0</v>
      </c>
      <c r="L48" s="64">
        <f>+L42-L44+L46</f>
        <v>0</v>
      </c>
      <c r="M48" s="65">
        <f>+M42-M44+M46</f>
        <v>0</v>
      </c>
      <c r="N48" s="64"/>
      <c r="O48" s="64"/>
    </row>
    <row r="49" spans="2:15" ht="16.149999999999999" customHeight="1" outlineLevel="1" x14ac:dyDescent="0.25">
      <c r="C49" s="44" t="s">
        <v>21</v>
      </c>
      <c r="D49" s="47" t="e">
        <f t="shared" ref="D49:I49" si="46">D48/D31</f>
        <v>#DIV/0!</v>
      </c>
      <c r="E49" s="48" t="e">
        <f t="shared" si="46"/>
        <v>#DIV/0!</v>
      </c>
      <c r="F49" s="47" t="e">
        <f t="shared" si="46"/>
        <v>#DIV/0!</v>
      </c>
      <c r="G49" s="48" t="e">
        <f t="shared" si="46"/>
        <v>#DIV/0!</v>
      </c>
      <c r="H49" s="47" t="e">
        <f t="shared" si="46"/>
        <v>#DIV/0!</v>
      </c>
      <c r="I49" s="48" t="e">
        <f t="shared" si="46"/>
        <v>#DIV/0!</v>
      </c>
      <c r="J49" s="47" t="e">
        <f t="shared" ref="J49" si="47">J48/J31</f>
        <v>#DIV/0!</v>
      </c>
      <c r="K49" s="48" t="e">
        <f t="shared" ref="K49:M49" si="48">K48/K31</f>
        <v>#DIV/0!</v>
      </c>
      <c r="L49" s="47" t="e">
        <f t="shared" ref="L49" si="49">L48/L31</f>
        <v>#DIV/0!</v>
      </c>
      <c r="M49" s="48" t="e">
        <f t="shared" si="48"/>
        <v>#DIV/0!</v>
      </c>
      <c r="N49" s="47"/>
      <c r="O49" s="47"/>
    </row>
    <row r="50" spans="2:15" ht="16.149999999999999" customHeight="1" outlineLevel="1" x14ac:dyDescent="0.25">
      <c r="C50" s="44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</row>
    <row r="51" spans="2:15" ht="16.149999999999999" customHeight="1" outlineLevel="1" x14ac:dyDescent="0.25">
      <c r="B51" s="11" t="s">
        <v>22</v>
      </c>
      <c r="D51" s="66"/>
      <c r="E51" s="66"/>
      <c r="F51" s="66"/>
      <c r="G51" s="66"/>
      <c r="H51" s="66"/>
    </row>
    <row r="52" spans="2:15" ht="16.149999999999999" customHeight="1" outlineLevel="2" x14ac:dyDescent="0.25">
      <c r="B52" s="11"/>
      <c r="D52" s="188">
        <f>D7</f>
        <v>2016</v>
      </c>
      <c r="E52" s="188">
        <f>D52+1</f>
        <v>2017</v>
      </c>
      <c r="F52" s="188">
        <f t="shared" ref="F52:J52" si="50">E52+1</f>
        <v>2018</v>
      </c>
      <c r="G52" s="188">
        <f t="shared" si="50"/>
        <v>2019</v>
      </c>
      <c r="H52" s="188">
        <f t="shared" si="50"/>
        <v>2020</v>
      </c>
      <c r="I52" s="188">
        <f t="shared" si="50"/>
        <v>2021</v>
      </c>
      <c r="J52" s="188">
        <f t="shared" si="50"/>
        <v>2022</v>
      </c>
      <c r="K52" s="188">
        <f>+K7</f>
        <v>2023</v>
      </c>
      <c r="L52" s="188">
        <f>+L7</f>
        <v>2024</v>
      </c>
      <c r="M52" s="188">
        <f>+M7</f>
        <v>2025</v>
      </c>
      <c r="N52" s="35"/>
    </row>
    <row r="53" spans="2:15" ht="16.149999999999999" customHeight="1" outlineLevel="2" x14ac:dyDescent="0.25">
      <c r="B53" s="93" t="inlineStr">
        <is>
          <t>Cash, Equivalents + Current Securities</t>
        </is>
      </c>
      <c r="D53" s="36"/>
      <c r="E53" s="67"/>
      <c r="F53" s="36"/>
      <c r="G53" s="67"/>
      <c r="H53" s="36"/>
      <c r="I53" s="67"/>
      <c r="J53" s="36"/>
      <c r="K53" s="67"/>
      <c r="L53" s="36"/>
      <c r="M53" s="67"/>
      <c r="N53" s="36"/>
      <c r="O53" s="36"/>
    </row>
    <row r="54" spans="2:15" ht="16.149999999999999" customHeight="1" outlineLevel="2" x14ac:dyDescent="0.25">
      <c r="B54" s="93" t="s">
        <v>24</v>
      </c>
      <c r="D54" s="36"/>
      <c r="E54" s="67"/>
      <c r="F54" s="36"/>
      <c r="G54" s="67"/>
      <c r="H54" s="36"/>
      <c r="I54" s="67"/>
      <c r="J54" s="36"/>
      <c r="K54" s="67"/>
      <c r="L54" s="36"/>
      <c r="M54" s="67"/>
      <c r="N54" s="36"/>
      <c r="O54" s="36"/>
    </row>
    <row r="55" spans="2:15" ht="16.149999999999999" customHeight="1" outlineLevel="2" x14ac:dyDescent="0.25">
      <c r="B55" s="93" t="s">
        <v>25</v>
      </c>
      <c r="D55" s="36"/>
      <c r="E55" s="67"/>
      <c r="F55" s="36"/>
      <c r="G55" s="67"/>
      <c r="H55" s="36"/>
      <c r="I55" s="67"/>
      <c r="J55" s="36"/>
      <c r="K55" s="67"/>
      <c r="L55" s="36"/>
      <c r="M55" s="67"/>
      <c r="N55" s="36"/>
      <c r="O55" s="36"/>
    </row>
    <row r="56" spans="2:15" ht="16.149999999999999" customHeight="1" outlineLevel="2" x14ac:dyDescent="0.25">
      <c r="B56" s="93" t="s">
        <v>26</v>
      </c>
      <c r="D56" s="36"/>
      <c r="E56" s="67"/>
      <c r="F56" s="36"/>
      <c r="G56" s="67"/>
      <c r="H56" s="36"/>
      <c r="I56" s="67"/>
      <c r="J56" s="36"/>
      <c r="K56" s="67"/>
      <c r="L56" s="36"/>
      <c r="M56" s="67"/>
      <c r="N56" s="36"/>
      <c r="O56" s="36"/>
    </row>
    <row r="57" spans="2:15" ht="16.149999999999999" customHeight="1" outlineLevel="2" thickBot="1" x14ac:dyDescent="0.3">
      <c r="B57" s="295" t="s">
        <v>110</v>
      </c>
      <c r="D57" s="36"/>
      <c r="E57" s="67"/>
      <c r="F57" s="36"/>
      <c r="G57" s="67"/>
      <c r="H57" s="36"/>
      <c r="I57" s="67"/>
      <c r="J57" s="36"/>
      <c r="K57" s="67"/>
      <c r="L57" s="36"/>
      <c r="M57" s="62"/>
      <c r="N57" s="43"/>
      <c r="O57" s="36"/>
    </row>
    <row r="58" spans="2:15" ht="16.149999999999999" customHeight="1" outlineLevel="2" x14ac:dyDescent="0.25">
      <c r="B58" s="2" t="s">
        <v>28</v>
      </c>
      <c r="D58" s="36"/>
      <c r="E58" s="67"/>
      <c r="F58" s="36"/>
      <c r="G58" s="67"/>
      <c r="H58" s="36"/>
      <c r="I58" s="67"/>
      <c r="J58" s="36"/>
      <c r="K58" s="67"/>
      <c r="L58" s="36"/>
      <c r="M58" s="67"/>
      <c r="N58" s="36"/>
      <c r="O58" s="36"/>
    </row>
    <row r="59" spans="2:15" ht="16.149999999999999" customHeight="1" outlineLevel="2" x14ac:dyDescent="0.25">
      <c r="B59" s="93" t="inlineStr">
        <is>
          <t>Non-current marketable securities</t>
        </is>
      </c>
      <c r="D59" s="303"/>
      <c r="E59" s="67"/>
      <c r="F59" s="36"/>
      <c r="G59" s="67"/>
      <c r="H59" s="36"/>
      <c r="I59" s="67"/>
      <c r="J59" s="36"/>
      <c r="K59" s="67"/>
      <c r="L59" s="36"/>
      <c r="M59" s="67"/>
      <c r="N59" s="36"/>
      <c r="O59" s="36"/>
    </row>
    <row r="60" spans="2:15" ht="16.149999999999999" customHeight="1" outlineLevel="2" x14ac:dyDescent="0.25">
      <c r="B60" s="93" t="s">
        <v>29</v>
      </c>
      <c r="D60" s="303"/>
      <c r="E60" s="67"/>
      <c r="F60" s="36"/>
      <c r="G60" s="67"/>
      <c r="H60" s="36"/>
      <c r="I60" s="67"/>
      <c r="J60" s="36"/>
      <c r="K60" s="67"/>
      <c r="L60" s="36"/>
      <c r="M60" s="67"/>
      <c r="N60" s="36"/>
      <c r="O60" s="36"/>
    </row>
    <row r="61" spans="2:15" ht="16.149999999999999" customHeight="1" outlineLevel="2" thickBot="1" x14ac:dyDescent="0.3">
      <c r="B61" s="295" t="s">
        <v>30</v>
      </c>
      <c r="D61" s="304">
        <f t="shared" ref="D61:I61" si="51">D62-D60</f>
        <v>0</v>
      </c>
      <c r="E61" s="291">
        <f t="shared" si="51"/>
        <v>0</v>
      </c>
      <c r="F61" s="290">
        <f t="shared" si="51"/>
        <v>0</v>
      </c>
      <c r="G61" s="291">
        <f t="shared" si="51"/>
        <v>0</v>
      </c>
      <c r="H61" s="290">
        <f t="shared" si="51"/>
        <v>0</v>
      </c>
      <c r="I61" s="291">
        <f t="shared" si="51"/>
        <v>0</v>
      </c>
      <c r="J61" s="290">
        <f>J62-J60</f>
        <v>0</v>
      </c>
      <c r="K61" s="291">
        <f>K62-K60</f>
        <v>0</v>
      </c>
      <c r="L61" s="290">
        <f>L62-L60</f>
        <v>0</v>
      </c>
      <c r="M61" s="69">
        <f>M62-M60</f>
        <v>0</v>
      </c>
      <c r="N61" s="36"/>
      <c r="O61" s="36"/>
    </row>
    <row r="62" spans="2:15" ht="16.149999999999999" customHeight="1" outlineLevel="2" x14ac:dyDescent="0.25">
      <c r="B62" s="2" t="s">
        <v>31</v>
      </c>
      <c r="D62" s="305"/>
      <c r="E62" s="168"/>
      <c r="F62" s="158"/>
      <c r="G62" s="168"/>
      <c r="H62" s="158"/>
      <c r="I62" s="168"/>
      <c r="J62" s="158"/>
      <c r="K62" s="168"/>
      <c r="L62" s="158"/>
      <c r="M62" s="168"/>
      <c r="N62" s="68"/>
      <c r="O62" s="36"/>
    </row>
    <row r="63" spans="2:15" ht="16.149999999999999" customHeight="1" outlineLevel="2" x14ac:dyDescent="0.25">
      <c r="B63" s="93" t="inlineStr">
        <is>
          <t>  of which: current debt + current op. lease</t>
        </is>
      </c>
      <c r="D63" s="303"/>
      <c r="E63" s="67"/>
      <c r="F63" s="36"/>
      <c r="G63" s="67"/>
      <c r="H63" s="36"/>
      <c r="I63" s="67"/>
      <c r="J63" s="36"/>
      <c r="K63" s="67"/>
      <c r="L63" s="36"/>
      <c r="M63" s="67"/>
      <c r="N63" s="36"/>
      <c r="O63" s="36"/>
    </row>
    <row r="64" spans="2:15" ht="16.149999999999999" customHeight="1" outlineLevel="2" thickBot="1" x14ac:dyDescent="0.3">
      <c r="B64" s="295" t="inlineStr">
        <is>
          <t>Total Debt + Operating Leases</t>
        </is>
      </c>
      <c r="D64" s="303"/>
      <c r="E64" s="67"/>
      <c r="F64" s="36"/>
      <c r="G64" s="67"/>
      <c r="H64" s="36"/>
      <c r="I64" s="67"/>
      <c r="J64" s="36"/>
      <c r="K64" s="67"/>
      <c r="L64" s="36"/>
      <c r="M64" s="67"/>
      <c r="N64" s="36"/>
      <c r="O64" s="36"/>
    </row>
    <row r="65" spans="2:16" ht="16.149999999999999" customHeight="1" outlineLevel="2" x14ac:dyDescent="0.25">
      <c r="B65" s="2" t="s">
        <v>32</v>
      </c>
      <c r="D65" s="303"/>
      <c r="E65" s="67"/>
      <c r="F65" s="36"/>
      <c r="G65" s="67"/>
      <c r="H65" s="36"/>
      <c r="I65" s="67"/>
      <c r="J65" s="36"/>
      <c r="K65" s="67"/>
      <c r="L65" s="36"/>
      <c r="M65" s="67"/>
      <c r="N65" s="36"/>
      <c r="O65" s="36"/>
    </row>
    <row r="66" spans="2:16" ht="16.149999999999999" customHeight="1" outlineLevel="2" x14ac:dyDescent="0.25">
      <c r="D66" s="36"/>
      <c r="E66" s="67"/>
      <c r="F66" s="36"/>
      <c r="G66" s="67"/>
      <c r="H66" s="36"/>
      <c r="I66" s="67"/>
      <c r="J66" s="36"/>
      <c r="K66" s="67"/>
      <c r="L66" s="36"/>
      <c r="M66" s="67"/>
      <c r="N66" s="36"/>
      <c r="O66" s="36"/>
    </row>
    <row r="67" spans="2:16" ht="16.149999999999999" customHeight="1" outlineLevel="2" x14ac:dyDescent="0.25">
      <c r="B67" s="2" t="s">
        <v>8</v>
      </c>
      <c r="D67" s="43">
        <f>D64-D53</f>
        <v>0</v>
      </c>
      <c r="E67" s="62">
        <f t="shared" ref="E67:I67" si="52">E64-E53</f>
        <v>0</v>
      </c>
      <c r="F67" s="43">
        <f t="shared" si="52"/>
        <v>0</v>
      </c>
      <c r="G67" s="62">
        <f t="shared" si="52"/>
        <v>0</v>
      </c>
      <c r="H67" s="43">
        <f t="shared" si="52"/>
        <v>0</v>
      </c>
      <c r="I67" s="62">
        <f t="shared" si="52"/>
        <v>0</v>
      </c>
      <c r="J67" s="43">
        <f t="shared" ref="J67:K67" si="53">J64-J53</f>
        <v>0</v>
      </c>
      <c r="K67" s="62">
        <f t="shared" si="53"/>
        <v>0</v>
      </c>
      <c r="L67" s="43">
        <f t="shared" ref="L67" si="54">L64-L53</f>
        <v>0</v>
      </c>
      <c r="M67" s="62">
        <f t="shared" ref="M67" si="55">M64-M53</f>
        <v>0</v>
      </c>
      <c r="N67" s="43"/>
      <c r="O67" s="43"/>
    </row>
    <row r="68" spans="2:16" ht="16.149999999999999" customHeight="1" outlineLevel="2" x14ac:dyDescent="0.25">
      <c r="B68" s="2" t="s">
        <v>33</v>
      </c>
      <c r="D68" s="159">
        <f>D58-D65</f>
        <v>0</v>
      </c>
      <c r="E68" s="71">
        <f t="shared" ref="E68:I68" si="56">E58-E65</f>
        <v>0</v>
      </c>
      <c r="F68" s="70">
        <f t="shared" si="56"/>
        <v>0</v>
      </c>
      <c r="G68" s="71">
        <f t="shared" si="56"/>
        <v>0</v>
      </c>
      <c r="H68" s="159">
        <f t="shared" si="56"/>
        <v>0</v>
      </c>
      <c r="I68" s="71">
        <f t="shared" si="56"/>
        <v>0</v>
      </c>
      <c r="J68" s="72">
        <f t="shared" ref="J68:K68" si="57">J58-J65</f>
        <v>0</v>
      </c>
      <c r="K68" s="71">
        <f t="shared" si="57"/>
        <v>0</v>
      </c>
      <c r="L68" s="72">
        <f t="shared" ref="L68" si="58">L58-L65</f>
        <v>0</v>
      </c>
      <c r="M68" s="71">
        <f t="shared" ref="M68" si="59">M58-M65</f>
        <v>0</v>
      </c>
      <c r="N68" s="72"/>
      <c r="O68" s="36"/>
    </row>
    <row r="69" spans="2:16" ht="16.149999999999999" customHeight="1" outlineLevel="2" x14ac:dyDescent="0.25">
      <c r="B69" s="2" t="s">
        <v>34</v>
      </c>
      <c r="D69" s="36"/>
      <c r="E69" s="67"/>
      <c r="F69" s="36"/>
      <c r="G69" s="67"/>
      <c r="H69" s="36"/>
      <c r="I69" s="67"/>
      <c r="J69" s="36"/>
      <c r="K69" s="67"/>
      <c r="L69" s="36"/>
      <c r="M69" s="67"/>
      <c r="N69" s="36"/>
      <c r="O69" s="36"/>
    </row>
    <row r="70" spans="2:16" ht="16.149999999999999" customHeight="1" outlineLevel="2" x14ac:dyDescent="0.25">
      <c r="B70" s="11" t="s">
        <v>35</v>
      </c>
      <c r="D70" s="73">
        <f t="shared" ref="D70:J70" si="60">+D68-D69</f>
        <v>0</v>
      </c>
      <c r="E70" s="74">
        <f t="shared" si="60"/>
        <v>0</v>
      </c>
      <c r="F70" s="73">
        <f t="shared" si="60"/>
        <v>0</v>
      </c>
      <c r="G70" s="74">
        <f t="shared" si="60"/>
        <v>0</v>
      </c>
      <c r="H70" s="73">
        <f t="shared" si="60"/>
        <v>0</v>
      </c>
      <c r="I70" s="74">
        <f t="shared" si="60"/>
        <v>0</v>
      </c>
      <c r="J70" s="73">
        <f t="shared" si="60"/>
        <v>0</v>
      </c>
      <c r="K70" s="74">
        <f t="shared" ref="K70:M70" si="61">+K68-K69</f>
        <v>0</v>
      </c>
      <c r="L70" s="73">
        <f t="shared" ref="L70" si="62">+L68-L69</f>
        <v>0</v>
      </c>
      <c r="M70" s="74">
        <f t="shared" si="61"/>
        <v>0</v>
      </c>
      <c r="N70" s="73"/>
    </row>
    <row r="71" spans="2:16" ht="16.149999999999999" customHeight="1" x14ac:dyDescent="0.25">
      <c r="B71" s="11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</row>
    <row r="72" spans="2:16" ht="16.149999999999999" customHeight="1" x14ac:dyDescent="0.25">
      <c r="B72" s="309" t="str">
        <f xml:space="preserve"> $B$2&amp; " NOPAT"</f>
        <v>Company name NOPAT</v>
      </c>
      <c r="C72" s="309"/>
      <c r="D72" s="309"/>
      <c r="E72" s="309"/>
      <c r="F72" s="309"/>
      <c r="G72" s="309"/>
      <c r="H72" s="309"/>
      <c r="I72" s="309"/>
      <c r="J72" s="309"/>
      <c r="K72" s="309"/>
      <c r="L72" s="309"/>
      <c r="M72" s="309"/>
      <c r="N72" s="261"/>
      <c r="O72" s="262"/>
      <c r="P72" s="262"/>
    </row>
    <row r="73" spans="2:16" ht="16.149999999999999" customHeight="1" outlineLevel="1" x14ac:dyDescent="0.25">
      <c r="B73" s="11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</row>
    <row r="74" spans="2:16" ht="16.149999999999999" customHeight="1" outlineLevel="1" x14ac:dyDescent="0.25">
      <c r="D74" s="66"/>
      <c r="E74" s="66"/>
      <c r="F74" s="66"/>
      <c r="G74" s="66"/>
      <c r="H74" s="66"/>
    </row>
    <row r="75" spans="2:16" ht="16.149999999999999" customHeight="1" outlineLevel="1" x14ac:dyDescent="0.25">
      <c r="B75" s="28" t="s">
        <v>36</v>
      </c>
      <c r="D75" s="188">
        <f>D7</f>
        <v>2016</v>
      </c>
      <c r="E75" s="188">
        <f>D75+1</f>
        <v>2017</v>
      </c>
      <c r="F75" s="188">
        <f t="shared" ref="F75:J75" si="63">E75+1</f>
        <v>2018</v>
      </c>
      <c r="G75" s="188">
        <f t="shared" si="63"/>
        <v>2019</v>
      </c>
      <c r="H75" s="188">
        <f t="shared" si="63"/>
        <v>2020</v>
      </c>
      <c r="I75" s="188">
        <f t="shared" si="63"/>
        <v>2021</v>
      </c>
      <c r="J75" s="188">
        <f t="shared" si="63"/>
        <v>2022</v>
      </c>
      <c r="K75" s="188">
        <f>+K7</f>
        <v>2023</v>
      </c>
      <c r="L75" s="188">
        <f>+L7</f>
        <v>2024</v>
      </c>
      <c r="M75" s="188">
        <f>+M7</f>
        <v>2025</v>
      </c>
      <c r="O75" s="49"/>
    </row>
    <row r="76" spans="2:16" ht="16.149999999999999" customHeight="1" outlineLevel="1" x14ac:dyDescent="0.25">
      <c r="B76" s="2" t="s">
        <v>5</v>
      </c>
      <c r="D76" s="43">
        <f t="shared" ref="D76:I76" si="64">D48</f>
        <v>0</v>
      </c>
      <c r="E76" s="62">
        <f t="shared" si="64"/>
        <v>0</v>
      </c>
      <c r="F76" s="43">
        <f t="shared" si="64"/>
        <v>0</v>
      </c>
      <c r="G76" s="69">
        <f t="shared" si="64"/>
        <v>0</v>
      </c>
      <c r="H76" s="68">
        <f t="shared" si="64"/>
        <v>0</v>
      </c>
      <c r="I76" s="69">
        <f t="shared" si="64"/>
        <v>0</v>
      </c>
      <c r="J76" s="68">
        <f t="shared" ref="J76:K76" si="65">J48</f>
        <v>0</v>
      </c>
      <c r="K76" s="69">
        <f t="shared" si="65"/>
        <v>0</v>
      </c>
      <c r="L76" s="68">
        <f t="shared" ref="L76" si="66">L48</f>
        <v>0</v>
      </c>
      <c r="M76" s="69">
        <f t="shared" ref="M76" si="67">M48</f>
        <v>0</v>
      </c>
      <c r="N76" s="68"/>
    </row>
    <row r="77" spans="2:16" ht="16.149999999999999" customHeight="1" outlineLevel="1" x14ac:dyDescent="0.25">
      <c r="B77" s="2" t="s">
        <v>19</v>
      </c>
      <c r="D77" s="43">
        <f t="shared" ref="D77:I77" si="68">+D44</f>
        <v>0</v>
      </c>
      <c r="E77" s="62">
        <f t="shared" si="68"/>
        <v>0</v>
      </c>
      <c r="F77" s="43">
        <f t="shared" si="68"/>
        <v>0</v>
      </c>
      <c r="G77" s="62">
        <f t="shared" si="68"/>
        <v>0</v>
      </c>
      <c r="H77" s="43">
        <f t="shared" si="68"/>
        <v>0</v>
      </c>
      <c r="I77" s="62">
        <f t="shared" si="68"/>
        <v>0</v>
      </c>
      <c r="J77" s="43">
        <f t="shared" ref="J77:K77" si="69">+J44</f>
        <v>0</v>
      </c>
      <c r="K77" s="62">
        <f t="shared" si="69"/>
        <v>0</v>
      </c>
      <c r="L77" s="43">
        <f t="shared" ref="L77" si="70">+L44</f>
        <v>0</v>
      </c>
      <c r="M77" s="62">
        <f t="shared" ref="M77" si="71">+M44</f>
        <v>0</v>
      </c>
      <c r="N77" s="43"/>
    </row>
    <row r="78" spans="2:16" ht="16.149999999999999" customHeight="1" outlineLevel="1" x14ac:dyDescent="0.25">
      <c r="B78" s="258" t="inlineStr">
        <is>
          <t>Less: Interest and other income</t>
        </is>
      </c>
      <c r="D78" s="306">
        <f>-D41</f>
      </c>
      <c r="E78" s="69">
        <f>-E41</f>
      </c>
      <c r="F78" s="68">
        <f>-F41</f>
      </c>
      <c r="G78" s="69">
        <f>-G41</f>
      </c>
      <c r="H78" s="68">
        <f>-H41</f>
      </c>
      <c r="I78" s="69">
        <f>-I41</f>
      </c>
      <c r="J78" s="68">
        <f>-J41</f>
      </c>
      <c r="K78" s="69">
        <f>-K41</f>
      </c>
      <c r="L78" s="68">
        <f>-L41</f>
      </c>
      <c r="M78" s="69">
        <f>-M41</f>
      </c>
      <c r="N78" s="68"/>
    </row>
    <row r="79" spans="2:16" ht="16.149999999999999" customHeight="1" outlineLevel="1" x14ac:dyDescent="0.25">
      <c r="B79" s="93" t="s">
        <v>37</v>
      </c>
      <c r="D79" s="36"/>
      <c r="E79" s="67"/>
      <c r="F79" s="36"/>
      <c r="G79" s="168"/>
      <c r="H79" s="167"/>
      <c r="I79" s="67"/>
      <c r="J79" s="189"/>
      <c r="K79" s="252"/>
      <c r="L79" s="189"/>
      <c r="M79" s="252"/>
      <c r="N79" s="36"/>
      <c r="O79" s="292"/>
    </row>
    <row r="80" spans="2:16" ht="16.149999999999999" customHeight="1" outlineLevel="1" x14ac:dyDescent="0.25">
      <c r="B80" s="11" t="s">
        <v>38</v>
      </c>
      <c r="C80" s="11"/>
      <c r="D80" s="76">
        <f t="shared" ref="D80:I80" si="76">SUM(D76:D79)</f>
        <v>0</v>
      </c>
      <c r="E80" s="77">
        <f t="shared" si="76"/>
        <v>0</v>
      </c>
      <c r="F80" s="76">
        <f t="shared" si="76"/>
        <v>0</v>
      </c>
      <c r="G80" s="77">
        <f t="shared" si="76"/>
        <v>0</v>
      </c>
      <c r="H80" s="76">
        <f t="shared" si="76"/>
        <v>0</v>
      </c>
      <c r="I80" s="77">
        <f t="shared" si="76"/>
        <v>0</v>
      </c>
      <c r="J80" s="64">
        <f t="shared" ref="J80:K80" si="77">SUM(J76:J79)</f>
        <v>0</v>
      </c>
      <c r="K80" s="65">
        <f t="shared" si="77"/>
        <v>0</v>
      </c>
      <c r="L80" s="64">
        <f t="shared" ref="L80" si="78">SUM(L76:L79)</f>
        <v>0</v>
      </c>
      <c r="M80" s="65">
        <f t="shared" ref="M80" si="79">SUM(M76:M79)</f>
        <v>0</v>
      </c>
      <c r="N80" s="64"/>
    </row>
    <row r="81" spans="2:16" ht="16.149999999999999" customHeight="1" outlineLevel="1" x14ac:dyDescent="0.25">
      <c r="B81" s="78" t="s">
        <v>39</v>
      </c>
      <c r="D81" s="47" t="e">
        <f t="shared" ref="D81:I81" si="80">D80/D31</f>
        <v>#DIV/0!</v>
      </c>
      <c r="E81" s="48" t="e">
        <f t="shared" si="80"/>
        <v>#DIV/0!</v>
      </c>
      <c r="F81" s="47" t="e">
        <f t="shared" si="80"/>
        <v>#DIV/0!</v>
      </c>
      <c r="G81" s="48" t="e">
        <f t="shared" si="80"/>
        <v>#DIV/0!</v>
      </c>
      <c r="H81" s="166" t="e">
        <f t="shared" si="80"/>
        <v>#DIV/0!</v>
      </c>
      <c r="I81" s="48" t="e">
        <f t="shared" si="80"/>
        <v>#DIV/0!</v>
      </c>
      <c r="J81" s="47" t="e">
        <f t="shared" ref="J81:K81" si="81">J80/J31</f>
        <v>#DIV/0!</v>
      </c>
      <c r="K81" s="48" t="e">
        <f t="shared" si="81"/>
        <v>#DIV/0!</v>
      </c>
      <c r="L81" s="47" t="e">
        <f t="shared" ref="L81" si="82">L80/L31</f>
        <v>#DIV/0!</v>
      </c>
      <c r="M81" s="48" t="e">
        <f t="shared" ref="M81" si="83">M80/M31</f>
        <v>#DIV/0!</v>
      </c>
      <c r="N81" s="47"/>
    </row>
    <row r="82" spans="2:16" ht="16.149999999999999" customHeight="1" outlineLevel="1" x14ac:dyDescent="0.25">
      <c r="E82" s="8"/>
      <c r="G82" s="8"/>
      <c r="I82" s="8"/>
      <c r="K82" s="8"/>
      <c r="M82" s="8"/>
    </row>
    <row r="83" spans="2:16" ht="16.149999999999999" customHeight="1" outlineLevel="1" x14ac:dyDescent="0.25">
      <c r="B83" s="2" t="s">
        <v>40</v>
      </c>
      <c r="D83" s="68">
        <v>0</v>
      </c>
      <c r="E83" s="69">
        <v>0</v>
      </c>
      <c r="F83" s="68">
        <v>0</v>
      </c>
      <c r="G83" s="69">
        <v>0</v>
      </c>
      <c r="H83" s="68">
        <v>0</v>
      </c>
      <c r="I83" s="69">
        <v>0</v>
      </c>
      <c r="J83" s="190">
        <v>0</v>
      </c>
      <c r="K83" s="253"/>
      <c r="L83" s="190"/>
      <c r="M83" s="253"/>
      <c r="N83" s="68"/>
      <c r="O83" s="75"/>
    </row>
    <row r="84" spans="2:16" ht="16.149999999999999" customHeight="1" outlineLevel="1" x14ac:dyDescent="0.25">
      <c r="B84" s="11" t="s">
        <v>41</v>
      </c>
      <c r="C84" s="11"/>
      <c r="D84" s="76">
        <f t="shared" ref="D84:I84" si="84">D80+D83</f>
        <v>0</v>
      </c>
      <c r="E84" s="77">
        <f t="shared" si="84"/>
        <v>0</v>
      </c>
      <c r="F84" s="76">
        <f>F80+F83</f>
        <v>0</v>
      </c>
      <c r="G84" s="77">
        <f>G80+G83</f>
        <v>0</v>
      </c>
      <c r="H84" s="76">
        <f t="shared" si="84"/>
        <v>0</v>
      </c>
      <c r="I84" s="77">
        <f t="shared" si="84"/>
        <v>0</v>
      </c>
      <c r="J84" s="64">
        <f t="shared" ref="J84:K84" si="85">J80+J83</f>
        <v>0</v>
      </c>
      <c r="K84" s="65">
        <f t="shared" si="85"/>
        <v>0</v>
      </c>
      <c r="L84" s="64">
        <f t="shared" ref="L84" si="86">L80+L83</f>
        <v>0</v>
      </c>
      <c r="M84" s="65">
        <f t="shared" ref="M84" si="87">M80+M83</f>
        <v>0</v>
      </c>
      <c r="N84" s="64"/>
    </row>
    <row r="85" spans="2:16" ht="16.149999999999999" customHeight="1" outlineLevel="1" x14ac:dyDescent="0.25">
      <c r="B85" s="78" t="s">
        <v>42</v>
      </c>
      <c r="D85" s="47" t="e">
        <f t="shared" ref="D85:I85" si="88">D84/D31</f>
        <v>#DIV/0!</v>
      </c>
      <c r="E85" s="48" t="e">
        <f t="shared" si="88"/>
        <v>#DIV/0!</v>
      </c>
      <c r="F85" s="47" t="e">
        <f t="shared" si="88"/>
        <v>#DIV/0!</v>
      </c>
      <c r="G85" s="48" t="e">
        <f t="shared" si="88"/>
        <v>#DIV/0!</v>
      </c>
      <c r="H85" s="166" t="e">
        <f t="shared" si="88"/>
        <v>#DIV/0!</v>
      </c>
      <c r="I85" s="48" t="e">
        <f t="shared" si="88"/>
        <v>#DIV/0!</v>
      </c>
      <c r="J85" s="47" t="e">
        <f t="shared" ref="J85:K85" si="89">J84/J31</f>
        <v>#DIV/0!</v>
      </c>
      <c r="K85" s="48" t="e">
        <f t="shared" si="89"/>
        <v>#DIV/0!</v>
      </c>
      <c r="L85" s="47" t="e">
        <f t="shared" ref="L85" si="90">L84/L31</f>
        <v>#DIV/0!</v>
      </c>
      <c r="M85" s="48" t="e">
        <f t="shared" ref="M85" si="91">M84/M31</f>
        <v>#DIV/0!</v>
      </c>
      <c r="N85" s="47"/>
    </row>
    <row r="86" spans="2:16" ht="16.149999999999999" customHeight="1" outlineLevel="1" x14ac:dyDescent="0.25">
      <c r="B86" s="78"/>
      <c r="D86" s="47"/>
      <c r="E86" s="48"/>
      <c r="F86" s="47"/>
      <c r="G86" s="48"/>
      <c r="H86" s="47"/>
      <c r="I86" s="8"/>
      <c r="K86" s="8"/>
      <c r="M86" s="8"/>
    </row>
    <row r="87" spans="2:16" ht="16.149999999999999" customHeight="1" outlineLevel="1" x14ac:dyDescent="0.25">
      <c r="B87" s="28" t="s">
        <v>43</v>
      </c>
      <c r="E87" s="8"/>
      <c r="G87" s="8"/>
      <c r="I87" s="8"/>
      <c r="K87" s="8"/>
      <c r="M87" s="8"/>
      <c r="O87" s="28"/>
    </row>
    <row r="88" spans="2:16" ht="16.149999999999999" customHeight="1" outlineLevel="1" x14ac:dyDescent="0.25">
      <c r="B88" s="2" t="s">
        <v>15</v>
      </c>
      <c r="D88" s="79">
        <f t="shared" ref="D88:I88" si="92">+D38</f>
        <v>0</v>
      </c>
      <c r="E88" s="80">
        <f t="shared" si="92"/>
        <v>0</v>
      </c>
      <c r="F88" s="79">
        <f t="shared" si="92"/>
        <v>0</v>
      </c>
      <c r="G88" s="80">
        <f t="shared" si="92"/>
        <v>0</v>
      </c>
      <c r="H88" s="79">
        <f t="shared" si="92"/>
        <v>0</v>
      </c>
      <c r="I88" s="80">
        <f t="shared" si="92"/>
        <v>0</v>
      </c>
      <c r="J88" s="25">
        <f t="shared" ref="J88:K88" si="93">+J38</f>
        <v>0</v>
      </c>
      <c r="K88" s="80">
        <f t="shared" si="93"/>
        <v>0</v>
      </c>
      <c r="L88" s="25">
        <f t="shared" ref="L88" si="94">+L38</f>
        <v>0</v>
      </c>
      <c r="M88" s="80">
        <f t="shared" ref="M88" si="95">+M38</f>
        <v>0</v>
      </c>
      <c r="N88" s="25"/>
    </row>
    <row r="89" spans="2:16" ht="16.149999999999999" customHeight="1" outlineLevel="1" x14ac:dyDescent="0.25">
      <c r="B89" s="2" t="s">
        <v>19</v>
      </c>
      <c r="D89" s="30">
        <f t="shared" ref="D89:I89" si="96">+D77</f>
        <v>0</v>
      </c>
      <c r="E89" s="53">
        <f t="shared" si="96"/>
        <v>0</v>
      </c>
      <c r="F89" s="30">
        <f t="shared" si="96"/>
        <v>0</v>
      </c>
      <c r="G89" s="53">
        <f t="shared" si="96"/>
        <v>0</v>
      </c>
      <c r="H89" s="30">
        <f t="shared" si="96"/>
        <v>0</v>
      </c>
      <c r="I89" s="53">
        <f t="shared" si="96"/>
        <v>0</v>
      </c>
      <c r="J89" s="30">
        <f t="shared" ref="J89:K89" si="97">+J77</f>
        <v>0</v>
      </c>
      <c r="K89" s="53">
        <f t="shared" si="97"/>
        <v>0</v>
      </c>
      <c r="L89" s="30">
        <f t="shared" ref="L89" si="98">+L77</f>
        <v>0</v>
      </c>
      <c r="M89" s="53">
        <f t="shared" ref="M89" si="99">+M77</f>
        <v>0</v>
      </c>
      <c r="N89" s="30"/>
      <c r="O89" s="2" t="s">
        <v>44</v>
      </c>
    </row>
    <row r="90" spans="2:16" ht="16.149999999999999" customHeight="1" outlineLevel="1" x14ac:dyDescent="0.25">
      <c r="B90" s="2" t="s">
        <v>45</v>
      </c>
      <c r="D90" s="43">
        <f t="shared" ref="D90:I90" si="100">+D88-D89</f>
        <v>0</v>
      </c>
      <c r="E90" s="62">
        <f t="shared" si="100"/>
        <v>0</v>
      </c>
      <c r="F90" s="43">
        <f t="shared" si="100"/>
        <v>0</v>
      </c>
      <c r="G90" s="62">
        <f t="shared" si="100"/>
        <v>0</v>
      </c>
      <c r="H90" s="43">
        <f t="shared" si="100"/>
        <v>0</v>
      </c>
      <c r="I90" s="62">
        <f t="shared" si="100"/>
        <v>0</v>
      </c>
      <c r="J90" s="43">
        <f t="shared" ref="J90:K90" si="101">+J88-J89</f>
        <v>0</v>
      </c>
      <c r="K90" s="62">
        <f t="shared" si="101"/>
        <v>0</v>
      </c>
      <c r="L90" s="43">
        <f t="shared" ref="L90" si="102">+L88-L89</f>
        <v>0</v>
      </c>
      <c r="M90" s="62">
        <f t="shared" ref="M90" si="103">+M88-M89</f>
        <v>0</v>
      </c>
      <c r="N90" s="43"/>
    </row>
    <row r="91" spans="2:16" ht="16.149999999999999" customHeight="1" outlineLevel="1" x14ac:dyDescent="0.25">
      <c r="B91" s="2" t="s">
        <v>46</v>
      </c>
      <c r="D91" s="43">
        <f t="shared" ref="D91:I91" si="104">D79</f>
        <v>0</v>
      </c>
      <c r="E91" s="62">
        <f t="shared" si="104"/>
        <v>0</v>
      </c>
      <c r="F91" s="43">
        <f t="shared" si="104"/>
        <v>0</v>
      </c>
      <c r="G91" s="169">
        <f t="shared" si="104"/>
        <v>0</v>
      </c>
      <c r="H91" s="43">
        <f t="shared" si="104"/>
        <v>0</v>
      </c>
      <c r="I91" s="62">
        <f t="shared" si="104"/>
        <v>0</v>
      </c>
      <c r="J91" s="43">
        <f t="shared" ref="J91:K91" si="105">J79</f>
        <v>0</v>
      </c>
      <c r="K91" s="62">
        <f t="shared" si="105"/>
        <v>0</v>
      </c>
      <c r="L91" s="43">
        <f t="shared" ref="L91" si="106">L79</f>
        <v>0</v>
      </c>
      <c r="M91" s="62">
        <f t="shared" ref="M91" si="107">M79</f>
        <v>0</v>
      </c>
      <c r="N91" s="43"/>
      <c r="O91" s="11"/>
      <c r="P91" s="11"/>
    </row>
    <row r="92" spans="2:16" ht="16.149999999999999" customHeight="1" outlineLevel="1" x14ac:dyDescent="0.25">
      <c r="B92" s="2" t="s">
        <v>47</v>
      </c>
      <c r="D92" s="43">
        <f t="shared" ref="D92:I92" si="108">-D105</f>
        <v>0</v>
      </c>
      <c r="E92" s="62">
        <f t="shared" si="108"/>
        <v>0</v>
      </c>
      <c r="F92" s="43">
        <f t="shared" si="108"/>
        <v>0</v>
      </c>
      <c r="G92" s="169">
        <f t="shared" si="108"/>
        <v>0</v>
      </c>
      <c r="H92" s="43">
        <f t="shared" si="108"/>
        <v>0</v>
      </c>
      <c r="I92" s="62">
        <f t="shared" si="108"/>
        <v>0</v>
      </c>
      <c r="J92" s="100">
        <f t="shared" ref="J92:K92" si="109">-J105</f>
        <v>0</v>
      </c>
      <c r="K92" s="101">
        <f t="shared" si="109"/>
        <v>0</v>
      </c>
      <c r="L92" s="100">
        <f t="shared" ref="L92" si="110">-L105</f>
        <v>0</v>
      </c>
      <c r="M92" s="101">
        <f t="shared" ref="M92" si="111">-M105</f>
        <v>0</v>
      </c>
      <c r="N92" s="43"/>
      <c r="O92" s="44"/>
      <c r="P92" s="44"/>
    </row>
    <row r="93" spans="2:16" ht="16.149999999999999" customHeight="1" outlineLevel="1" x14ac:dyDescent="0.25">
      <c r="B93" s="11" t="s">
        <v>48</v>
      </c>
      <c r="C93" s="11"/>
      <c r="D93" s="76">
        <f t="shared" ref="D93:I93" si="112">SUM(D90:D92)</f>
        <v>0</v>
      </c>
      <c r="E93" s="77">
        <f t="shared" si="112"/>
        <v>0</v>
      </c>
      <c r="F93" s="170">
        <f t="shared" si="112"/>
        <v>0</v>
      </c>
      <c r="G93" s="77">
        <f t="shared" si="112"/>
        <v>0</v>
      </c>
      <c r="H93" s="76">
        <f t="shared" si="112"/>
        <v>0</v>
      </c>
      <c r="I93" s="77">
        <f t="shared" si="112"/>
        <v>0</v>
      </c>
      <c r="J93" s="64">
        <f t="shared" ref="J93:K93" si="113">SUM(J90:J92)</f>
        <v>0</v>
      </c>
      <c r="K93" s="65">
        <f t="shared" si="113"/>
        <v>0</v>
      </c>
      <c r="L93" s="64">
        <f t="shared" ref="L93" si="114">SUM(L90:L92)</f>
        <v>0</v>
      </c>
      <c r="M93" s="65">
        <f t="shared" ref="M93" si="115">SUM(M90:M92)</f>
        <v>0</v>
      </c>
      <c r="N93" s="64"/>
    </row>
    <row r="94" spans="2:16" ht="16.149999999999999" customHeight="1" outlineLevel="1" x14ac:dyDescent="0.25">
      <c r="B94" s="78" t="s">
        <v>39</v>
      </c>
      <c r="C94" s="11"/>
      <c r="D94" s="81" t="e">
        <f t="shared" ref="D94:I94" si="116">+D93/D31</f>
        <v>#DIV/0!</v>
      </c>
      <c r="E94" s="82" t="e">
        <f t="shared" si="116"/>
        <v>#DIV/0!</v>
      </c>
      <c r="F94" s="81" t="e">
        <f t="shared" si="116"/>
        <v>#DIV/0!</v>
      </c>
      <c r="G94" s="82" t="e">
        <f t="shared" si="116"/>
        <v>#DIV/0!</v>
      </c>
      <c r="H94" s="81" t="e">
        <f t="shared" si="116"/>
        <v>#DIV/0!</v>
      </c>
      <c r="I94" s="82" t="e">
        <f t="shared" si="116"/>
        <v>#DIV/0!</v>
      </c>
      <c r="J94" s="83" t="e">
        <f t="shared" ref="J94:K94" si="117">+J93/J31</f>
        <v>#DIV/0!</v>
      </c>
      <c r="K94" s="82" t="e">
        <f t="shared" si="117"/>
        <v>#DIV/0!</v>
      </c>
      <c r="L94" s="83" t="e">
        <f t="shared" ref="L94" si="118">+L93/L31</f>
        <v>#DIV/0!</v>
      </c>
      <c r="M94" s="82" t="e">
        <f t="shared" ref="M94" si="119">+M93/M31</f>
        <v>#DIV/0!</v>
      </c>
      <c r="N94" s="83"/>
    </row>
    <row r="95" spans="2:16" ht="16.149999999999999" customHeight="1" outlineLevel="1" x14ac:dyDescent="0.25"/>
    <row r="96" spans="2:16" ht="16.149999999999999" customHeight="1" outlineLevel="1" x14ac:dyDescent="0.25">
      <c r="B96" s="84" t="s">
        <v>48</v>
      </c>
      <c r="C96" s="85">
        <f>M93</f>
        <v>0</v>
      </c>
    </row>
    <row r="97" spans="2:16" ht="16.149999999999999" customHeight="1" outlineLevel="1" x14ac:dyDescent="0.25">
      <c r="B97" s="86" t="s">
        <v>49</v>
      </c>
      <c r="C97" s="87">
        <v>0.1</v>
      </c>
      <c r="H97" s="38"/>
    </row>
    <row r="98" spans="2:16" ht="16.149999999999999" customHeight="1" outlineLevel="1" x14ac:dyDescent="0.25">
      <c r="B98" s="9" t="s">
        <v>50</v>
      </c>
      <c r="C98" s="171">
        <f>C96/C97</f>
        <v>0</v>
      </c>
    </row>
    <row r="99" spans="2:16" ht="16.149999999999999" customHeight="1" outlineLevel="1" x14ac:dyDescent="0.25">
      <c r="B99" s="9" t="s">
        <v>51</v>
      </c>
      <c r="C99" s="88">
        <f>M11</f>
        <v>0</v>
      </c>
    </row>
    <row r="100" spans="2:16" ht="16.149999999999999" customHeight="1" outlineLevel="1" x14ac:dyDescent="0.25">
      <c r="B100" s="89" t="s">
        <v>52</v>
      </c>
      <c r="C100" s="155" t="e">
        <f>C98/C99</f>
        <v>#DIV/0!</v>
      </c>
      <c r="E100" s="11"/>
      <c r="F100" s="11"/>
    </row>
    <row r="102" spans="2:16" ht="16.149999999999999" customHeight="1" x14ac:dyDescent="0.25">
      <c r="B102" s="309" t="str">
        <f xml:space="preserve"> $B$2&amp; " Invested Capital Detail"</f>
        <v>Company name Invested Capital Detail</v>
      </c>
      <c r="C102" s="309"/>
      <c r="D102" s="309"/>
      <c r="E102" s="309"/>
      <c r="F102" s="309"/>
      <c r="G102" s="309"/>
      <c r="H102" s="309"/>
      <c r="I102" s="309"/>
      <c r="J102" s="309"/>
      <c r="K102" s="309"/>
      <c r="L102" s="309"/>
      <c r="M102" s="309"/>
      <c r="N102" s="260"/>
      <c r="O102" s="260"/>
      <c r="P102" s="260"/>
    </row>
    <row r="104" spans="2:16" ht="16.149999999999999" customHeight="1" outlineLevel="1" x14ac:dyDescent="0.25">
      <c r="D104" s="188">
        <f>D7</f>
        <v>2016</v>
      </c>
      <c r="E104" s="188">
        <f>D104+1</f>
        <v>2017</v>
      </c>
      <c r="F104" s="188">
        <f t="shared" ref="F104:J104" si="120">E104+1</f>
        <v>2018</v>
      </c>
      <c r="G104" s="188">
        <f t="shared" si="120"/>
        <v>2019</v>
      </c>
      <c r="H104" s="188">
        <f t="shared" si="120"/>
        <v>2020</v>
      </c>
      <c r="I104" s="188">
        <f t="shared" si="120"/>
        <v>2021</v>
      </c>
      <c r="J104" s="188">
        <f t="shared" si="120"/>
        <v>2022</v>
      </c>
      <c r="K104" s="188">
        <f>+K7</f>
        <v>2023</v>
      </c>
      <c r="L104" s="188">
        <f>+L7</f>
        <v>2024</v>
      </c>
      <c r="M104" s="188">
        <f>+M7</f>
        <v>2025</v>
      </c>
      <c r="N104" s="35"/>
    </row>
    <row r="105" spans="2:16" ht="16.149999999999999" customHeight="1" outlineLevel="1" x14ac:dyDescent="0.25">
      <c r="B105" s="90" t="s">
        <v>53</v>
      </c>
      <c r="D105" s="43">
        <f t="shared" ref="D105:I105" si="121">D79</f>
        <v>0</v>
      </c>
      <c r="E105" s="62">
        <f t="shared" si="121"/>
        <v>0</v>
      </c>
      <c r="F105" s="43">
        <f t="shared" si="121"/>
        <v>0</v>
      </c>
      <c r="G105" s="169">
        <f t="shared" si="121"/>
        <v>0</v>
      </c>
      <c r="H105" s="43">
        <f t="shared" si="121"/>
        <v>0</v>
      </c>
      <c r="I105" s="62">
        <f t="shared" si="121"/>
        <v>0</v>
      </c>
      <c r="J105" s="43">
        <f t="shared" ref="J105:M105" si="122">J79</f>
        <v>0</v>
      </c>
      <c r="K105" s="62">
        <f t="shared" si="122"/>
        <v>0</v>
      </c>
      <c r="L105" s="43">
        <f t="shared" ref="L105" si="123">L79</f>
        <v>0</v>
      </c>
      <c r="M105" s="62">
        <f t="shared" si="122"/>
        <v>0</v>
      </c>
      <c r="N105" s="43"/>
    </row>
    <row r="106" spans="2:16" ht="16.149999999999999" customHeight="1" outlineLevel="1" x14ac:dyDescent="0.25">
      <c r="B106" s="296" t="s">
        <v>54</v>
      </c>
      <c r="D106" s="36"/>
      <c r="E106" s="67"/>
      <c r="F106" s="36"/>
      <c r="G106" s="67"/>
      <c r="H106" s="36"/>
      <c r="I106" s="67"/>
      <c r="J106" s="36"/>
      <c r="K106" s="67"/>
      <c r="L106" s="36"/>
      <c r="M106" s="67"/>
      <c r="N106" s="36"/>
      <c r="P106" s="75"/>
    </row>
    <row r="107" spans="2:16" ht="16.149999999999999" customHeight="1" outlineLevel="1" x14ac:dyDescent="0.25">
      <c r="B107" s="90" t="s">
        <v>55</v>
      </c>
      <c r="D107" s="68">
        <f t="shared" ref="D107:I107" si="124">+D105</f>
        <v>0</v>
      </c>
      <c r="E107" s="69">
        <f t="shared" si="124"/>
        <v>0</v>
      </c>
      <c r="F107" s="68">
        <f t="shared" si="124"/>
        <v>0</v>
      </c>
      <c r="G107" s="69">
        <f t="shared" si="124"/>
        <v>0</v>
      </c>
      <c r="H107" s="68">
        <f t="shared" si="124"/>
        <v>0</v>
      </c>
      <c r="I107" s="69">
        <f t="shared" si="124"/>
        <v>0</v>
      </c>
      <c r="J107" s="68">
        <f t="shared" ref="J107:K107" si="125">+J105</f>
        <v>0</v>
      </c>
      <c r="K107" s="69">
        <f t="shared" si="125"/>
        <v>0</v>
      </c>
      <c r="L107" s="68">
        <f t="shared" ref="L107" si="126">+L105</f>
        <v>0</v>
      </c>
      <c r="M107" s="69">
        <f t="shared" ref="M107" si="127">+M105</f>
        <v>0</v>
      </c>
      <c r="N107" s="68"/>
      <c r="P107" s="75"/>
    </row>
    <row r="108" spans="2:16" ht="16.149999999999999" customHeight="1" outlineLevel="1" x14ac:dyDescent="0.25">
      <c r="B108" s="90" t="s">
        <v>56</v>
      </c>
      <c r="D108" s="68">
        <f t="shared" ref="D108:I108" si="128">+D106-D107</f>
        <v>0</v>
      </c>
      <c r="E108" s="69">
        <f t="shared" si="128"/>
        <v>0</v>
      </c>
      <c r="F108" s="68">
        <f t="shared" si="128"/>
        <v>0</v>
      </c>
      <c r="G108" s="69">
        <f t="shared" si="128"/>
        <v>0</v>
      </c>
      <c r="H108" s="68">
        <f t="shared" si="128"/>
        <v>0</v>
      </c>
      <c r="I108" s="69">
        <f t="shared" si="128"/>
        <v>0</v>
      </c>
      <c r="J108" s="68">
        <f t="shared" ref="J108:K108" si="129">+J106-J107</f>
        <v>0</v>
      </c>
      <c r="K108" s="69">
        <f t="shared" si="129"/>
        <v>0</v>
      </c>
      <c r="L108" s="68">
        <f t="shared" ref="L108" si="130">+L106-L107</f>
        <v>0</v>
      </c>
      <c r="M108" s="69">
        <f t="shared" ref="M108" si="131">+M106-M107</f>
        <v>0</v>
      </c>
      <c r="N108" s="68"/>
      <c r="P108" s="75"/>
    </row>
    <row r="109" spans="2:16" ht="16.149999999999999" customHeight="1" outlineLevel="1" x14ac:dyDescent="0.25">
      <c r="B109" s="90"/>
      <c r="D109" s="36"/>
      <c r="E109" s="91"/>
      <c r="F109" s="92"/>
      <c r="G109" s="67"/>
      <c r="H109" s="93"/>
      <c r="I109" s="8"/>
      <c r="J109" s="32"/>
      <c r="K109" s="254"/>
      <c r="L109" s="32"/>
      <c r="M109" s="254"/>
    </row>
    <row r="110" spans="2:16" ht="16.149999999999999" customHeight="1" outlineLevel="1" x14ac:dyDescent="0.25">
      <c r="B110" s="94" t="s">
        <v>57</v>
      </c>
      <c r="D110" s="95"/>
      <c r="E110" s="96"/>
      <c r="F110" s="95"/>
      <c r="G110" s="96"/>
      <c r="H110" s="95"/>
      <c r="I110" s="96"/>
      <c r="J110" s="189"/>
      <c r="K110" s="252"/>
      <c r="L110" s="189"/>
      <c r="M110" s="252"/>
      <c r="N110" s="36"/>
    </row>
    <row r="111" spans="2:16" ht="16.149999999999999" customHeight="1" outlineLevel="1" x14ac:dyDescent="0.25">
      <c r="B111" s="90" t="s">
        <v>58</v>
      </c>
      <c r="D111" s="95"/>
      <c r="E111" s="96"/>
      <c r="F111" s="95"/>
      <c r="G111" s="96"/>
      <c r="H111" s="95"/>
      <c r="I111" s="96"/>
      <c r="J111" s="189"/>
      <c r="K111" s="252"/>
      <c r="L111" s="189"/>
      <c r="M111" s="252"/>
      <c r="N111" s="36"/>
      <c r="O111" s="97"/>
      <c r="P111" s="97"/>
    </row>
    <row r="112" spans="2:16" ht="16.149999999999999" customHeight="1" outlineLevel="1" x14ac:dyDescent="0.25">
      <c r="B112" s="90" t="s">
        <v>27</v>
      </c>
      <c r="D112" s="68">
        <f t="shared" ref="D112:I112" si="132">+D110-D111</f>
        <v>0</v>
      </c>
      <c r="E112" s="69">
        <f t="shared" si="132"/>
        <v>0</v>
      </c>
      <c r="F112" s="68">
        <f t="shared" si="132"/>
        <v>0</v>
      </c>
      <c r="G112" s="69">
        <f t="shared" si="132"/>
        <v>0</v>
      </c>
      <c r="H112" s="68">
        <f t="shared" si="132"/>
        <v>0</v>
      </c>
      <c r="I112" s="69">
        <f t="shared" si="132"/>
        <v>0</v>
      </c>
      <c r="J112" s="68">
        <f>J57</f>
        <v>0</v>
      </c>
      <c r="K112" s="69">
        <f>K57</f>
        <v>0</v>
      </c>
      <c r="L112" s="68">
        <f>L57</f>
        <v>0</v>
      </c>
      <c r="M112" s="69">
        <f>M57</f>
        <v>0</v>
      </c>
      <c r="N112" s="68"/>
      <c r="O112" s="97"/>
      <c r="P112" s="98"/>
    </row>
    <row r="114" spans="2:16" ht="16.149999999999999" customHeight="1" x14ac:dyDescent="0.25">
      <c r="B114" s="309" t="str">
        <f xml:space="preserve"> $B$2&amp; " ROIC Analysis"</f>
        <v>Company name ROIC Analysis</v>
      </c>
      <c r="C114" s="309"/>
      <c r="D114" s="309"/>
      <c r="E114" s="309"/>
      <c r="F114" s="309"/>
      <c r="G114" s="309"/>
      <c r="H114" s="309"/>
      <c r="I114" s="309"/>
      <c r="J114" s="309"/>
      <c r="K114" s="309"/>
      <c r="L114" s="309"/>
      <c r="M114" s="309"/>
      <c r="N114" s="260"/>
      <c r="O114" s="260"/>
      <c r="P114" s="260"/>
    </row>
    <row r="115" spans="2:16" ht="16.149999999999999" customHeight="1" outlineLevel="1" x14ac:dyDescent="0.25"/>
    <row r="116" spans="2:16" ht="16.149999999999999" customHeight="1" outlineLevel="1" x14ac:dyDescent="0.4">
      <c r="D116" s="188">
        <f>D7</f>
        <v>2016</v>
      </c>
      <c r="E116" s="188">
        <f>D116+1</f>
        <v>2017</v>
      </c>
      <c r="F116" s="188">
        <f t="shared" ref="F116:J116" si="133">E116+1</f>
        <v>2018</v>
      </c>
      <c r="G116" s="188">
        <f t="shared" si="133"/>
        <v>2019</v>
      </c>
      <c r="H116" s="188">
        <f t="shared" si="133"/>
        <v>2020</v>
      </c>
      <c r="I116" s="188">
        <f t="shared" si="133"/>
        <v>2021</v>
      </c>
      <c r="J116" s="188">
        <f t="shared" si="133"/>
        <v>2022</v>
      </c>
      <c r="K116" s="188">
        <f>+K7</f>
        <v>2023</v>
      </c>
      <c r="L116" s="188">
        <f>+L7</f>
        <v>2024</v>
      </c>
      <c r="M116" s="188">
        <f>+M7</f>
        <v>2025</v>
      </c>
      <c r="N116" s="35"/>
      <c r="O116" s="312" t="s">
        <v>73</v>
      </c>
      <c r="P116" s="313"/>
    </row>
    <row r="117" spans="2:16" ht="16.149999999999999" customHeight="1" outlineLevel="1" x14ac:dyDescent="0.25">
      <c r="B117" s="2" t="s">
        <v>41</v>
      </c>
      <c r="D117" s="43">
        <f t="shared" ref="D117:I117" si="134">D84</f>
        <v>0</v>
      </c>
      <c r="E117" s="62">
        <f t="shared" si="134"/>
        <v>0</v>
      </c>
      <c r="F117" s="43">
        <f t="shared" si="134"/>
        <v>0</v>
      </c>
      <c r="G117" s="62">
        <f t="shared" si="134"/>
        <v>0</v>
      </c>
      <c r="H117" s="43">
        <f t="shared" si="134"/>
        <v>0</v>
      </c>
      <c r="I117" s="62">
        <f t="shared" si="134"/>
        <v>0</v>
      </c>
      <c r="J117" s="43">
        <f t="shared" ref="J117:K117" si="135">J84</f>
        <v>0</v>
      </c>
      <c r="K117" s="62">
        <f t="shared" si="135"/>
        <v>0</v>
      </c>
      <c r="L117" s="43">
        <f t="shared" ref="L117" si="136">L84</f>
        <v>0</v>
      </c>
      <c r="M117" s="62">
        <f t="shared" ref="M117" si="137">M84</f>
        <v>0</v>
      </c>
      <c r="N117" s="43"/>
      <c r="O117" s="99"/>
      <c r="P117" s="23"/>
    </row>
    <row r="118" spans="2:16" ht="16.149999999999999" customHeight="1" outlineLevel="1" x14ac:dyDescent="0.25">
      <c r="B118" s="2" t="s">
        <v>59</v>
      </c>
      <c r="D118" s="100">
        <f t="shared" ref="D118:I118" si="138">D92</f>
        <v>0</v>
      </c>
      <c r="E118" s="101">
        <f t="shared" si="138"/>
        <v>0</v>
      </c>
      <c r="F118" s="100">
        <f t="shared" si="138"/>
        <v>0</v>
      </c>
      <c r="G118" s="101">
        <f t="shared" si="138"/>
        <v>0</v>
      </c>
      <c r="H118" s="100">
        <f t="shared" si="138"/>
        <v>0</v>
      </c>
      <c r="I118" s="101">
        <f t="shared" si="138"/>
        <v>0</v>
      </c>
      <c r="J118" s="100">
        <f t="shared" ref="J118:K118" si="139">J92</f>
        <v>0</v>
      </c>
      <c r="K118" s="101">
        <f t="shared" si="139"/>
        <v>0</v>
      </c>
      <c r="L118" s="100">
        <f t="shared" ref="L118" si="140">L92</f>
        <v>0</v>
      </c>
      <c r="M118" s="101">
        <f t="shared" ref="M118" si="141">M92</f>
        <v>0</v>
      </c>
      <c r="N118" s="43"/>
      <c r="O118" s="314" t="s">
        <v>48</v>
      </c>
      <c r="P118" s="315"/>
    </row>
    <row r="119" spans="2:16" ht="16.149999999999999" customHeight="1" outlineLevel="1" x14ac:dyDescent="0.25">
      <c r="E119" s="8"/>
      <c r="G119" s="8"/>
      <c r="I119" s="8"/>
      <c r="J119" s="191"/>
      <c r="K119" s="255"/>
      <c r="L119" s="191"/>
      <c r="M119" s="255"/>
      <c r="O119" s="316" t="s">
        <v>7</v>
      </c>
      <c r="P119" s="317"/>
    </row>
    <row r="120" spans="2:16" ht="16.149999999999999" customHeight="1" outlineLevel="1" x14ac:dyDescent="0.25">
      <c r="B120" s="2" t="s">
        <v>60</v>
      </c>
      <c r="D120" s="102">
        <f t="shared" ref="D120:I120" si="142">+D117+D118</f>
        <v>0</v>
      </c>
      <c r="E120" s="103">
        <f t="shared" si="142"/>
        <v>0</v>
      </c>
      <c r="F120" s="102">
        <f t="shared" si="142"/>
        <v>0</v>
      </c>
      <c r="G120" s="103">
        <f t="shared" si="142"/>
        <v>0</v>
      </c>
      <c r="H120" s="102">
        <f t="shared" si="142"/>
        <v>0</v>
      </c>
      <c r="I120" s="103">
        <f t="shared" si="142"/>
        <v>0</v>
      </c>
      <c r="J120" s="102">
        <f t="shared" ref="J120:K120" si="143">+J117+J118</f>
        <v>0</v>
      </c>
      <c r="K120" s="103">
        <f t="shared" si="143"/>
        <v>0</v>
      </c>
      <c r="L120" s="102">
        <f t="shared" ref="L120" si="144">+L117+L118</f>
        <v>0</v>
      </c>
      <c r="M120" s="103">
        <f t="shared" ref="M120" si="145">+M117+M118</f>
        <v>0</v>
      </c>
      <c r="N120" s="43"/>
      <c r="O120" s="9"/>
      <c r="P120" s="104"/>
    </row>
    <row r="121" spans="2:16" ht="16.149999999999999" customHeight="1" outlineLevel="1" x14ac:dyDescent="0.25">
      <c r="B121" s="38" t="s">
        <v>61</v>
      </c>
      <c r="D121" s="105" t="e">
        <f t="shared" ref="D121:I121" si="146">+D45</f>
        <v>#DIV/0!</v>
      </c>
      <c r="E121" s="106" t="e">
        <f t="shared" si="146"/>
        <v>#DIV/0!</v>
      </c>
      <c r="F121" s="105" t="e">
        <f t="shared" si="146"/>
        <v>#DIV/0!</v>
      </c>
      <c r="G121" s="106" t="e">
        <f t="shared" si="146"/>
        <v>#DIV/0!</v>
      </c>
      <c r="H121" s="105" t="e">
        <f t="shared" si="146"/>
        <v>#DIV/0!</v>
      </c>
      <c r="I121" s="106" t="e">
        <f t="shared" si="146"/>
        <v>#DIV/0!</v>
      </c>
      <c r="J121" s="105" t="e">
        <f t="shared" ref="J121:K121" si="147">+J45</f>
        <v>#DIV/0!</v>
      </c>
      <c r="K121" s="106" t="e">
        <f t="shared" si="147"/>
        <v>#DIV/0!</v>
      </c>
      <c r="L121" s="105" t="e">
        <f t="shared" ref="L121" si="148">+L45</f>
        <v>#DIV/0!</v>
      </c>
      <c r="M121" s="106" t="e">
        <f t="shared" ref="M121" si="149">+M45</f>
        <v>#DIV/0!</v>
      </c>
      <c r="N121" s="105"/>
      <c r="O121" s="316" t="s">
        <v>74</v>
      </c>
      <c r="P121" s="317"/>
    </row>
    <row r="122" spans="2:16" ht="16.149999999999999" customHeight="1" outlineLevel="1" x14ac:dyDescent="0.25">
      <c r="B122" s="38" t="s">
        <v>62</v>
      </c>
      <c r="D122" s="107" t="e">
        <f t="shared" ref="D122:I122" si="150">+D120*D121</f>
        <v>#DIV/0!</v>
      </c>
      <c r="E122" s="108" t="e">
        <f t="shared" si="150"/>
        <v>#DIV/0!</v>
      </c>
      <c r="F122" s="107" t="e">
        <f t="shared" si="150"/>
        <v>#DIV/0!</v>
      </c>
      <c r="G122" s="108" t="e">
        <f>+G120*G121</f>
        <v>#DIV/0!</v>
      </c>
      <c r="H122" s="107" t="e">
        <f t="shared" si="150"/>
        <v>#DIV/0!</v>
      </c>
      <c r="I122" s="108" t="e">
        <f t="shared" si="150"/>
        <v>#DIV/0!</v>
      </c>
      <c r="J122" s="192" t="e">
        <f t="shared" ref="J122:K122" si="151">+J120*J121</f>
        <v>#DIV/0!</v>
      </c>
      <c r="K122" s="108" t="e">
        <f t="shared" si="151"/>
        <v>#DIV/0!</v>
      </c>
      <c r="L122" s="192" t="e">
        <f t="shared" ref="L122" si="152">+L120*L121</f>
        <v>#DIV/0!</v>
      </c>
      <c r="M122" s="108" t="e">
        <f t="shared" ref="M122" si="153">+M120*M121</f>
        <v>#DIV/0!</v>
      </c>
      <c r="N122" s="109"/>
      <c r="O122" s="99"/>
      <c r="P122" s="104"/>
    </row>
    <row r="123" spans="2:16" ht="16.149999999999999" customHeight="1" outlineLevel="1" x14ac:dyDescent="0.25">
      <c r="B123" s="38" t="s">
        <v>63</v>
      </c>
      <c r="D123" s="43" t="e">
        <f t="shared" ref="D123:I123" si="154">+D120-D122</f>
        <v>#DIV/0!</v>
      </c>
      <c r="E123" s="62" t="e">
        <f t="shared" si="154"/>
        <v>#DIV/0!</v>
      </c>
      <c r="F123" s="43" t="e">
        <f t="shared" si="154"/>
        <v>#DIV/0!</v>
      </c>
      <c r="G123" s="62" t="e">
        <f t="shared" si="154"/>
        <v>#DIV/0!</v>
      </c>
      <c r="H123" s="43" t="e">
        <f t="shared" si="154"/>
        <v>#DIV/0!</v>
      </c>
      <c r="I123" s="62" t="e">
        <f t="shared" si="154"/>
        <v>#DIV/0!</v>
      </c>
      <c r="J123" s="43" t="e">
        <f t="shared" ref="J123:K123" si="155">+J120-J122</f>
        <v>#DIV/0!</v>
      </c>
      <c r="K123" s="62" t="e">
        <f t="shared" si="155"/>
        <v>#DIV/0!</v>
      </c>
      <c r="L123" s="43" t="e">
        <f t="shared" ref="L123" si="156">+L120-L122</f>
        <v>#DIV/0!</v>
      </c>
      <c r="M123" s="62" t="e">
        <f t="shared" ref="M123" si="157">+M120-M122</f>
        <v>#DIV/0!</v>
      </c>
      <c r="N123" s="43"/>
      <c r="O123" s="318" t="s">
        <v>75</v>
      </c>
      <c r="P123" s="319"/>
    </row>
    <row r="124" spans="2:16" ht="16.149999999999999" customHeight="1" outlineLevel="1" x14ac:dyDescent="0.25">
      <c r="B124" s="243" t="s">
        <v>64</v>
      </c>
      <c r="C124" s="244"/>
      <c r="D124" s="245" t="e">
        <f t="shared" ref="D124:I124" si="158">+D123/D31</f>
        <v>#DIV/0!</v>
      </c>
      <c r="E124" s="246" t="e">
        <f t="shared" si="158"/>
        <v>#DIV/0!</v>
      </c>
      <c r="F124" s="247" t="e">
        <f t="shared" si="158"/>
        <v>#DIV/0!</v>
      </c>
      <c r="G124" s="248" t="e">
        <f t="shared" si="158"/>
        <v>#DIV/0!</v>
      </c>
      <c r="H124" s="247" t="e">
        <f t="shared" si="158"/>
        <v>#DIV/0!</v>
      </c>
      <c r="I124" s="248" t="e">
        <f t="shared" si="158"/>
        <v>#DIV/0!</v>
      </c>
      <c r="J124" s="249" t="e">
        <f t="shared" ref="J124:K124" si="159">+J123/J31</f>
        <v>#DIV/0!</v>
      </c>
      <c r="K124" s="248" t="e">
        <f t="shared" si="159"/>
        <v>#DIV/0!</v>
      </c>
      <c r="L124" s="249" t="e">
        <f t="shared" ref="L124" si="160">+L123/L31</f>
        <v>#DIV/0!</v>
      </c>
      <c r="M124" s="248" t="e">
        <f t="shared" ref="M124" si="161">+M123/M31</f>
        <v>#DIV/0!</v>
      </c>
      <c r="N124" s="105"/>
      <c r="O124" s="310" t="s">
        <v>76</v>
      </c>
      <c r="P124" s="311"/>
    </row>
    <row r="125" spans="2:16" ht="16.149999999999999" customHeight="1" outlineLevel="1" x14ac:dyDescent="0.25">
      <c r="D125" s="43"/>
      <c r="E125" s="62"/>
      <c r="F125" s="43"/>
      <c r="G125" s="62"/>
      <c r="I125" s="8"/>
      <c r="K125" s="8"/>
      <c r="M125" s="8"/>
      <c r="O125" s="31"/>
      <c r="P125" s="111"/>
    </row>
    <row r="126" spans="2:16" ht="16.149999999999999" customHeight="1" outlineLevel="1" x14ac:dyDescent="0.25">
      <c r="B126" s="2" t="s">
        <v>27</v>
      </c>
      <c r="D126" s="43">
        <f t="shared" ref="D126:I126" si="162">D112</f>
        <v>0</v>
      </c>
      <c r="E126" s="62">
        <f t="shared" si="162"/>
        <v>0</v>
      </c>
      <c r="F126" s="43">
        <f t="shared" si="162"/>
        <v>0</v>
      </c>
      <c r="G126" s="62">
        <f t="shared" si="162"/>
        <v>0</v>
      </c>
      <c r="H126" s="43">
        <f t="shared" si="162"/>
        <v>0</v>
      </c>
      <c r="I126" s="62">
        <f t="shared" si="162"/>
        <v>0</v>
      </c>
      <c r="J126" s="43">
        <f t="shared" ref="J126:K126" si="163">J112</f>
        <v>0</v>
      </c>
      <c r="K126" s="62">
        <f t="shared" si="163"/>
        <v>0</v>
      </c>
      <c r="L126" s="43">
        <f t="shared" ref="L126" si="164">L112</f>
        <v>0</v>
      </c>
      <c r="M126" s="62">
        <f t="shared" ref="M126" si="165">M112</f>
        <v>0</v>
      </c>
      <c r="N126" s="43"/>
      <c r="P126" s="112"/>
    </row>
    <row r="127" spans="2:16" ht="16.149999999999999" customHeight="1" outlineLevel="1" x14ac:dyDescent="0.25">
      <c r="B127" s="307" t="s">
        <v>112</v>
      </c>
      <c r="D127" s="43">
        <f>+D56-D53</f>
        <v>0</v>
      </c>
      <c r="E127" s="62">
        <f t="shared" ref="E127:M127" si="166">+E56-E53</f>
        <v>0</v>
      </c>
      <c r="F127" s="43">
        <f t="shared" si="166"/>
        <v>0</v>
      </c>
      <c r="G127" s="62">
        <f t="shared" si="166"/>
        <v>0</v>
      </c>
      <c r="H127" s="43">
        <f t="shared" si="166"/>
        <v>0</v>
      </c>
      <c r="I127" s="62">
        <f t="shared" si="166"/>
        <v>0</v>
      </c>
      <c r="J127" s="43">
        <f t="shared" si="166"/>
        <v>0</v>
      </c>
      <c r="K127" s="62">
        <f t="shared" si="166"/>
        <v>0</v>
      </c>
      <c r="L127" s="43">
        <f t="shared" si="166"/>
        <v>0</v>
      </c>
      <c r="M127" s="62">
        <f t="shared" si="166"/>
        <v>0</v>
      </c>
      <c r="N127" s="113"/>
      <c r="O127" s="97"/>
      <c r="P127" s="112"/>
    </row>
    <row r="128" spans="2:16" ht="16.149999999999999" customHeight="1" outlineLevel="1" x14ac:dyDescent="0.25">
      <c r="B128" s="307" t="inlineStr">
        <is>
          <t>    Current Liabilities (ex debt and leases)</t>
        </is>
      </c>
      <c r="D128" s="43">
        <f>+D62-D63</f>
      </c>
      <c r="E128" s="62">
        <f>+E62-E63</f>
      </c>
      <c r="F128" s="43">
        <f>+F62-F63</f>
      </c>
      <c r="G128" s="62">
        <f>+G62-G63</f>
      </c>
      <c r="H128" s="43">
        <f>+H62-H63</f>
      </c>
      <c r="I128" s="62">
        <f>+I62-I63</f>
      </c>
      <c r="J128" s="43">
        <f>+J62-J63</f>
      </c>
      <c r="K128" s="62">
        <f>+K62-K63</f>
      </c>
      <c r="L128" s="43">
        <f>+L62-L63</f>
      </c>
      <c r="M128" s="62">
        <f>+M62-M63</f>
      </c>
      <c r="N128" s="43"/>
      <c r="P128" s="112"/>
    </row>
    <row r="129" spans="2:16" ht="16.149999999999999" customHeight="1" outlineLevel="1" x14ac:dyDescent="0.25">
      <c r="B129" s="2" t="s">
        <v>66</v>
      </c>
      <c r="D129" s="68">
        <f>+D127-D128</f>
        <v>0</v>
      </c>
      <c r="E129" s="69">
        <f t="shared" ref="E129:I129" si="171">+E127-E128</f>
        <v>0</v>
      </c>
      <c r="F129" s="68">
        <f t="shared" si="171"/>
        <v>0</v>
      </c>
      <c r="G129" s="69">
        <f t="shared" si="171"/>
        <v>0</v>
      </c>
      <c r="H129" s="68">
        <f t="shared" si="171"/>
        <v>0</v>
      </c>
      <c r="I129" s="69">
        <f t="shared" si="171"/>
        <v>0</v>
      </c>
      <c r="J129" s="190">
        <f t="shared" ref="J129:K129" si="172">+J127-J128</f>
        <v>0</v>
      </c>
      <c r="K129" s="253">
        <f t="shared" si="172"/>
        <v>0</v>
      </c>
      <c r="L129" s="190">
        <f t="shared" ref="L129" si="173">+L127-L128</f>
        <v>0</v>
      </c>
      <c r="M129" s="253">
        <f t="shared" ref="M129" si="174">+M127-M128</f>
        <v>0</v>
      </c>
      <c r="N129" s="68"/>
      <c r="P129" s="75"/>
    </row>
    <row r="130" spans="2:16" ht="16.149999999999999" customHeight="1" outlineLevel="1" x14ac:dyDescent="0.25">
      <c r="B130" s="144" t="s">
        <v>67</v>
      </c>
      <c r="D130" s="41">
        <f t="shared" ref="D130:I130" si="175">+D126+D129</f>
        <v>0</v>
      </c>
      <c r="E130" s="42">
        <f t="shared" si="175"/>
        <v>0</v>
      </c>
      <c r="F130" s="41">
        <f t="shared" si="175"/>
        <v>0</v>
      </c>
      <c r="G130" s="42">
        <f t="shared" si="175"/>
        <v>0</v>
      </c>
      <c r="H130" s="41">
        <f t="shared" si="175"/>
        <v>0</v>
      </c>
      <c r="I130" s="42">
        <f t="shared" si="175"/>
        <v>0</v>
      </c>
      <c r="J130" s="43">
        <f t="shared" ref="J130:K130" si="176">+J126+J129</f>
        <v>0</v>
      </c>
      <c r="K130" s="62">
        <f t="shared" si="176"/>
        <v>0</v>
      </c>
      <c r="L130" s="43">
        <f t="shared" ref="L130:M130" si="177">+L126+L129</f>
        <v>0</v>
      </c>
      <c r="M130" s="62">
        <f t="shared" si="177"/>
        <v>0</v>
      </c>
      <c r="N130" s="43"/>
    </row>
    <row r="131" spans="2:16" ht="16.149999999999999" customHeight="1" outlineLevel="1" x14ac:dyDescent="0.25">
      <c r="B131" s="239" t="s">
        <v>86</v>
      </c>
      <c r="C131" s="240"/>
      <c r="D131" s="241" t="e">
        <f>D31/D130</f>
        <v>#DIV/0!</v>
      </c>
      <c r="E131" s="242" t="e">
        <f t="shared" ref="E131:I131" si="178">E31/E130</f>
        <v>#DIV/0!</v>
      </c>
      <c r="F131" s="241" t="e">
        <f t="shared" si="178"/>
        <v>#DIV/0!</v>
      </c>
      <c r="G131" s="242" t="e">
        <f t="shared" si="178"/>
        <v>#DIV/0!</v>
      </c>
      <c r="H131" s="241" t="e">
        <f t="shared" si="178"/>
        <v>#DIV/0!</v>
      </c>
      <c r="I131" s="242" t="e">
        <f t="shared" si="178"/>
        <v>#DIV/0!</v>
      </c>
      <c r="J131" s="241" t="e">
        <f t="shared" ref="J131:K131" si="179">J31/J130</f>
        <v>#DIV/0!</v>
      </c>
      <c r="K131" s="242" t="e">
        <f t="shared" si="179"/>
        <v>#DIV/0!</v>
      </c>
      <c r="L131" s="241" t="e">
        <f t="shared" ref="L131" si="180">L31/L130</f>
        <v>#DIV/0!</v>
      </c>
      <c r="M131" s="242" t="e">
        <f t="shared" ref="M131" si="181">M31/M130</f>
        <v>#DIV/0!</v>
      </c>
      <c r="N131" s="43"/>
    </row>
    <row r="132" spans="2:16" ht="16.149999999999999" customHeight="1" outlineLevel="1" x14ac:dyDescent="0.25"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</row>
    <row r="133" spans="2:16" ht="16.149999999999999" customHeight="1" outlineLevel="1" x14ac:dyDescent="0.25">
      <c r="B133" s="114" t="s">
        <v>68</v>
      </c>
      <c r="C133" s="115"/>
      <c r="D133" s="116" t="e">
        <f t="shared" ref="D133:I133" si="182">D123/D130</f>
        <v>#DIV/0!</v>
      </c>
      <c r="E133" s="116" t="e">
        <f t="shared" si="182"/>
        <v>#DIV/0!</v>
      </c>
      <c r="F133" s="116" t="e">
        <f t="shared" si="182"/>
        <v>#DIV/0!</v>
      </c>
      <c r="G133" s="116" t="e">
        <f t="shared" si="182"/>
        <v>#DIV/0!</v>
      </c>
      <c r="H133" s="116" t="e">
        <f t="shared" si="182"/>
        <v>#DIV/0!</v>
      </c>
      <c r="I133" s="116" t="e">
        <f t="shared" si="182"/>
        <v>#DIV/0!</v>
      </c>
      <c r="J133" s="116" t="e">
        <f t="shared" ref="J133:L133" si="183">J123/J130</f>
        <v>#DIV/0!</v>
      </c>
      <c r="K133" s="116" t="e">
        <f t="shared" si="183"/>
        <v>#DIV/0!</v>
      </c>
      <c r="L133" s="116" t="e">
        <f t="shared" si="183"/>
        <v>#DIV/0!</v>
      </c>
      <c r="M133" s="117" t="e">
        <f t="shared" ref="M133" si="184">M123/M130</f>
        <v>#DIV/0!</v>
      </c>
      <c r="N133" s="118"/>
      <c r="O133" s="119"/>
    </row>
    <row r="134" spans="2:16" ht="16.149999999999999" customHeight="1" outlineLevel="1" x14ac:dyDescent="0.25">
      <c r="B134" s="11" t="s">
        <v>100</v>
      </c>
      <c r="D134" s="119">
        <v>0.1</v>
      </c>
      <c r="E134" s="119">
        <v>0.1</v>
      </c>
      <c r="F134" s="119">
        <v>0.1</v>
      </c>
      <c r="G134" s="119">
        <v>0.1</v>
      </c>
      <c r="H134" s="119">
        <v>0.1</v>
      </c>
      <c r="I134" s="119">
        <v>0.1</v>
      </c>
      <c r="J134" s="119">
        <v>0.1</v>
      </c>
      <c r="K134" s="119">
        <v>0.1</v>
      </c>
      <c r="L134" s="119">
        <v>0.1</v>
      </c>
      <c r="M134" s="119">
        <v>0.1</v>
      </c>
      <c r="N134" s="119"/>
    </row>
    <row r="135" spans="2:16" ht="16.149999999999999" customHeight="1" x14ac:dyDescent="0.25">
      <c r="B135" s="11"/>
      <c r="D135" s="119"/>
      <c r="E135" s="119"/>
      <c r="F135" s="119"/>
      <c r="G135" s="119"/>
      <c r="H135" s="119"/>
      <c r="I135" s="119"/>
      <c r="J135" s="119"/>
      <c r="K135" s="119"/>
      <c r="L135" s="119"/>
      <c r="M135" s="119"/>
      <c r="N135" s="119"/>
    </row>
    <row r="136" spans="2:16" ht="16.149999999999999" customHeight="1" x14ac:dyDescent="0.25">
      <c r="B136" s="309" t="str">
        <f xml:space="preserve"> $B$2&amp; " Valuation Components"</f>
        <v>Company name Valuation Components</v>
      </c>
      <c r="C136" s="309"/>
      <c r="D136" s="309"/>
      <c r="E136" s="309"/>
      <c r="F136" s="309"/>
      <c r="G136" s="309"/>
      <c r="H136" s="309"/>
      <c r="I136" s="309"/>
      <c r="J136" s="309"/>
      <c r="K136" s="309"/>
      <c r="L136" s="309"/>
      <c r="M136" s="309"/>
      <c r="N136" s="263"/>
      <c r="O136" s="262"/>
      <c r="P136" s="262"/>
    </row>
    <row r="137" spans="2:16" ht="16.149999999999999" customHeight="1" outlineLevel="1" x14ac:dyDescent="0.25">
      <c r="B137" s="11"/>
      <c r="D137" s="188">
        <f>D7</f>
        <v>2016</v>
      </c>
      <c r="E137" s="188">
        <f>D137+1</f>
        <v>2017</v>
      </c>
      <c r="F137" s="188">
        <f t="shared" ref="F137:J137" si="185">E137+1</f>
        <v>2018</v>
      </c>
      <c r="G137" s="188">
        <f t="shared" si="185"/>
        <v>2019</v>
      </c>
      <c r="H137" s="188">
        <f t="shared" si="185"/>
        <v>2020</v>
      </c>
      <c r="I137" s="188">
        <f t="shared" si="185"/>
        <v>2021</v>
      </c>
      <c r="J137" s="188">
        <f t="shared" si="185"/>
        <v>2022</v>
      </c>
      <c r="K137" s="188">
        <f>+K7</f>
        <v>2023</v>
      </c>
      <c r="L137" s="188">
        <f>+L7</f>
        <v>2024</v>
      </c>
      <c r="M137" s="188">
        <f>+M7</f>
        <v>2025</v>
      </c>
      <c r="N137" s="35"/>
      <c r="P137" s="120"/>
    </row>
    <row r="138" spans="2:16" ht="16.149999999999999" customHeight="1" outlineLevel="1" x14ac:dyDescent="0.25">
      <c r="B138" s="203" t="s">
        <v>69</v>
      </c>
      <c r="C138" s="203"/>
      <c r="D138" s="204">
        <f t="shared" ref="D138:I138" si="186">D130</f>
        <v>0</v>
      </c>
      <c r="E138" s="204">
        <f t="shared" si="186"/>
        <v>0</v>
      </c>
      <c r="F138" s="204">
        <f t="shared" si="186"/>
        <v>0</v>
      </c>
      <c r="G138" s="204">
        <f t="shared" si="186"/>
        <v>0</v>
      </c>
      <c r="H138" s="204">
        <f t="shared" si="186"/>
        <v>0</v>
      </c>
      <c r="I138" s="204">
        <f t="shared" si="186"/>
        <v>0</v>
      </c>
      <c r="J138" s="204">
        <f t="shared" ref="J138:K138" si="187">J130</f>
        <v>0</v>
      </c>
      <c r="K138" s="204">
        <f t="shared" si="187"/>
        <v>0</v>
      </c>
      <c r="L138" s="204">
        <f t="shared" ref="L138" si="188">L130</f>
        <v>0</v>
      </c>
      <c r="M138" s="204">
        <f t="shared" ref="M138" si="189">M130</f>
        <v>0</v>
      </c>
      <c r="N138" s="121"/>
      <c r="O138" s="81"/>
      <c r="P138" s="122"/>
    </row>
    <row r="139" spans="2:16" ht="16.149999999999999" customHeight="1" outlineLevel="1" x14ac:dyDescent="0.4">
      <c r="B139" s="205" t="s">
        <v>101</v>
      </c>
      <c r="C139" s="206"/>
      <c r="D139" s="207" t="e">
        <f>+D140-D138</f>
        <v>#DIV/0!</v>
      </c>
      <c r="E139" s="208" t="e">
        <f t="shared" ref="E139:I139" si="190">+E140-E138</f>
        <v>#DIV/0!</v>
      </c>
      <c r="F139" s="208" t="e">
        <f t="shared" si="190"/>
        <v>#DIV/0!</v>
      </c>
      <c r="G139" s="208" t="e">
        <f t="shared" si="190"/>
        <v>#DIV/0!</v>
      </c>
      <c r="H139" s="208" t="e">
        <f t="shared" si="190"/>
        <v>#DIV/0!</v>
      </c>
      <c r="I139" s="208" t="e">
        <f t="shared" si="190"/>
        <v>#DIV/0!</v>
      </c>
      <c r="J139" s="208" t="e">
        <f t="shared" ref="J139:K139" si="191">+J140-J138</f>
        <v>#DIV/0!</v>
      </c>
      <c r="K139" s="208" t="e">
        <f t="shared" si="191"/>
        <v>#DIV/0!</v>
      </c>
      <c r="L139" s="208" t="e">
        <f t="shared" ref="L139" si="192">+L140-L138</f>
        <v>#DIV/0!</v>
      </c>
      <c r="M139" s="208" t="e">
        <f t="shared" ref="M139" si="193">+M140-M138</f>
        <v>#DIV/0!</v>
      </c>
      <c r="N139" s="123"/>
      <c r="O139" s="81"/>
      <c r="P139" s="122"/>
    </row>
    <row r="140" spans="2:16" ht="16.149999999999999" customHeight="1" outlineLevel="1" x14ac:dyDescent="0.25">
      <c r="B140" s="213" t="s">
        <v>6</v>
      </c>
      <c r="C140" s="214"/>
      <c r="D140" s="215" t="e">
        <f t="shared" ref="D140:I140" si="194">+D123/D134</f>
        <v>#DIV/0!</v>
      </c>
      <c r="E140" s="215" t="e">
        <f t="shared" si="194"/>
        <v>#DIV/0!</v>
      </c>
      <c r="F140" s="215" t="e">
        <f t="shared" si="194"/>
        <v>#DIV/0!</v>
      </c>
      <c r="G140" s="215" t="e">
        <f t="shared" si="194"/>
        <v>#DIV/0!</v>
      </c>
      <c r="H140" s="215" t="e">
        <f t="shared" si="194"/>
        <v>#DIV/0!</v>
      </c>
      <c r="I140" s="215" t="e">
        <f t="shared" si="194"/>
        <v>#DIV/0!</v>
      </c>
      <c r="J140" s="215" t="e">
        <f t="shared" ref="J140:K140" si="195">+J123/J134</f>
        <v>#DIV/0!</v>
      </c>
      <c r="K140" s="215" t="e">
        <f t="shared" si="195"/>
        <v>#DIV/0!</v>
      </c>
      <c r="L140" s="215" t="e">
        <f t="shared" ref="L140" si="196">+L123/L134</f>
        <v>#DIV/0!</v>
      </c>
      <c r="M140" s="215" t="e">
        <f t="shared" ref="M140" si="197">+M123/M134</f>
        <v>#DIV/0!</v>
      </c>
      <c r="N140" s="125"/>
      <c r="O140" s="81"/>
      <c r="P140" s="122"/>
    </row>
    <row r="141" spans="2:16" ht="16.149999999999999" customHeight="1" outlineLevel="1" x14ac:dyDescent="0.25">
      <c r="B141" s="124"/>
      <c r="D141" s="125"/>
      <c r="E141" s="125"/>
      <c r="F141" s="125"/>
      <c r="G141" s="125"/>
      <c r="H141" s="125"/>
      <c r="I141" s="125"/>
      <c r="J141" s="125"/>
      <c r="K141" s="125"/>
      <c r="L141" s="125"/>
      <c r="M141" s="125"/>
      <c r="N141" s="125"/>
      <c r="O141" s="81"/>
      <c r="P141" s="122"/>
    </row>
    <row r="142" spans="2:16" ht="16.149999999999999" customHeight="1" outlineLevel="1" x14ac:dyDescent="0.25">
      <c r="B142" s="209" t="s">
        <v>72</v>
      </c>
      <c r="C142" s="210"/>
      <c r="D142" s="211" t="e">
        <f>D143-D140</f>
        <v>#DIV/0!</v>
      </c>
      <c r="E142" s="212" t="e">
        <f t="shared" ref="E142:I142" si="198">E143-E140</f>
        <v>#DIV/0!</v>
      </c>
      <c r="F142" s="212" t="e">
        <f t="shared" si="198"/>
        <v>#DIV/0!</v>
      </c>
      <c r="G142" s="212" t="e">
        <f t="shared" si="198"/>
        <v>#DIV/0!</v>
      </c>
      <c r="H142" s="212" t="e">
        <f t="shared" si="198"/>
        <v>#DIV/0!</v>
      </c>
      <c r="I142" s="212" t="e">
        <f t="shared" si="198"/>
        <v>#DIV/0!</v>
      </c>
      <c r="J142" s="212" t="e">
        <f t="shared" ref="J142:K142" si="199">J143-J140</f>
        <v>#DIV/0!</v>
      </c>
      <c r="K142" s="212" t="e">
        <f t="shared" si="199"/>
        <v>#DIV/0!</v>
      </c>
      <c r="L142" s="212" t="e">
        <f t="shared" ref="L142" si="200">L143-L140</f>
        <v>#DIV/0!</v>
      </c>
      <c r="M142" s="212" t="e">
        <f t="shared" ref="M142" si="201">M143-M140</f>
        <v>#DIV/0!</v>
      </c>
      <c r="N142" s="126"/>
      <c r="O142" s="81"/>
      <c r="P142" s="122"/>
    </row>
    <row r="143" spans="2:16" ht="16.149999999999999" customHeight="1" outlineLevel="1" x14ac:dyDescent="0.25">
      <c r="B143" s="216" t="s">
        <v>70</v>
      </c>
      <c r="C143" s="217"/>
      <c r="D143" s="218">
        <f>D15</f>
        <v>0</v>
      </c>
      <c r="E143" s="218">
        <f t="shared" ref="E143:H143" si="202">E15</f>
        <v>0</v>
      </c>
      <c r="F143" s="218">
        <f t="shared" si="202"/>
        <v>0</v>
      </c>
      <c r="G143" s="218">
        <f t="shared" si="202"/>
        <v>0</v>
      </c>
      <c r="H143" s="218">
        <f t="shared" si="202"/>
        <v>0</v>
      </c>
      <c r="I143" s="218">
        <f>I15</f>
        <v>0</v>
      </c>
      <c r="J143" s="219">
        <f>J15</f>
        <v>0</v>
      </c>
      <c r="K143" s="219">
        <f>K15</f>
        <v>0</v>
      </c>
      <c r="L143" s="219">
        <f>L15</f>
        <v>0</v>
      </c>
      <c r="M143" s="219">
        <f>M15</f>
        <v>0</v>
      </c>
      <c r="N143" s="125"/>
      <c r="O143" s="119"/>
      <c r="P143" s="127"/>
    </row>
    <row r="144" spans="2:16" ht="16.149999999999999" customHeight="1" outlineLevel="1" x14ac:dyDescent="0.25"/>
    <row r="145" spans="2:15" ht="16.149999999999999" customHeight="1" outlineLevel="1" x14ac:dyDescent="0.25"/>
    <row r="146" spans="2:15" ht="16.149999999999999" customHeight="1" outlineLevel="1" x14ac:dyDescent="0.25">
      <c r="D146" s="11">
        <f>+M137</f>
        <v>2025</v>
      </c>
      <c r="E146" s="94" t="s">
        <v>109</v>
      </c>
      <c r="O146" s="110"/>
    </row>
    <row r="147" spans="2:15" ht="16.149999999999999" customHeight="1" outlineLevel="1" x14ac:dyDescent="0.25">
      <c r="B147" s="272" t="s">
        <v>69</v>
      </c>
      <c r="C147" s="273"/>
      <c r="D147" s="274">
        <f>+M138</f>
        <v>0</v>
      </c>
      <c r="E147" s="275" t="e">
        <f>+D147/$D$152</f>
        <v>#DIV/0!</v>
      </c>
      <c r="O147" s="110"/>
    </row>
    <row r="148" spans="2:15" ht="16.149999999999999" customHeight="1" outlineLevel="1" x14ac:dyDescent="0.4">
      <c r="B148" s="276" t="s">
        <v>101</v>
      </c>
      <c r="C148" s="277"/>
      <c r="D148" s="278" t="e">
        <f>+M139</f>
        <v>#DIV/0!</v>
      </c>
      <c r="E148" s="279" t="e">
        <f>+D148/$D$152</f>
        <v>#DIV/0!</v>
      </c>
      <c r="O148" s="110"/>
    </row>
    <row r="149" spans="2:15" ht="16.149999999999999" customHeight="1" outlineLevel="1" x14ac:dyDescent="0.25">
      <c r="B149" s="223" t="s">
        <v>6</v>
      </c>
      <c r="C149" s="214"/>
      <c r="D149" s="224" t="e">
        <f>+D148+D147</f>
        <v>#DIV/0!</v>
      </c>
      <c r="E149" s="225" t="e">
        <f>+E148+E147</f>
        <v>#DIV/0!</v>
      </c>
    </row>
    <row r="150" spans="2:15" ht="16.149999999999999" customHeight="1" outlineLevel="1" x14ac:dyDescent="0.25">
      <c r="B150" s="128"/>
      <c r="D150" s="66"/>
      <c r="E150" s="27"/>
    </row>
    <row r="151" spans="2:15" ht="16.149999999999999" customHeight="1" outlineLevel="1" x14ac:dyDescent="0.4">
      <c r="B151" s="280" t="s">
        <v>72</v>
      </c>
      <c r="C151" s="281"/>
      <c r="D151" s="282" t="e">
        <f>+M142</f>
        <v>#DIV/0!</v>
      </c>
      <c r="E151" s="283" t="e">
        <f>+D151/$D$152</f>
        <v>#DIV/0!</v>
      </c>
    </row>
    <row r="152" spans="2:15" ht="16.149999999999999" customHeight="1" outlineLevel="1" x14ac:dyDescent="0.25">
      <c r="B152" s="220" t="s">
        <v>70</v>
      </c>
      <c r="C152" s="221"/>
      <c r="D152" s="222">
        <f>+M143</f>
        <v>0</v>
      </c>
      <c r="E152" s="129"/>
    </row>
    <row r="154" spans="2:15" ht="16.149999999999999" customHeight="1" x14ac:dyDescent="0.25">
      <c r="B154" s="250"/>
      <c r="C154" s="250"/>
      <c r="D154" s="250"/>
      <c r="E154" s="250"/>
      <c r="F154" s="250"/>
      <c r="G154" s="250"/>
      <c r="H154" s="250"/>
      <c r="I154" s="250"/>
      <c r="J154" s="250"/>
      <c r="K154" s="250"/>
      <c r="L154" s="250"/>
      <c r="M154" s="250"/>
    </row>
  </sheetData>
  <mergeCells count="15">
    <mergeCell ref="B3:D3"/>
    <mergeCell ref="B20:E20"/>
    <mergeCell ref="B5:M5"/>
    <mergeCell ref="B28:M28"/>
    <mergeCell ref="B72:M72"/>
    <mergeCell ref="B102:M102"/>
    <mergeCell ref="B114:M114"/>
    <mergeCell ref="B136:M136"/>
    <mergeCell ref="O7:P7"/>
    <mergeCell ref="O124:P124"/>
    <mergeCell ref="O116:P116"/>
    <mergeCell ref="O118:P118"/>
    <mergeCell ref="O119:P119"/>
    <mergeCell ref="O121:P121"/>
    <mergeCell ref="O123:P123"/>
  </mergeCells>
  <pageMargins left="0.7" right="0.7" top="0.75" bottom="0.75" header="0.3" footer="0.3"/>
  <pageSetup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72EDA-AD06-4D3B-A3E5-8B28EBD0CC5E}">
  <dimension ref="B1:X40"/>
  <sheetViews>
    <sheetView showGridLines="0" zoomScale="71" zoomScaleNormal="71" workbookViewId="0">
      <selection activeCell="Q4" sqref="Q4"/>
    </sheetView>
  </sheetViews>
  <sheetFormatPr defaultColWidth="9" defaultRowHeight="15" x14ac:dyDescent="0.25"/>
  <cols>
    <col min="1" max="1" width="9" style="2"/>
    <col min="2" max="2" width="47.85546875" style="2" bestFit="1" customWidth="1"/>
    <col min="3" max="3" width="12.85546875" style="2" bestFit="1" customWidth="1"/>
    <col min="4" max="7" width="15.28515625" style="2" bestFit="1" customWidth="1"/>
    <col min="8" max="12" width="17" style="2" customWidth="1"/>
    <col min="13" max="24" width="9" style="2"/>
    <col min="25" max="25" width="11.7109375" style="2" bestFit="1" customWidth="1"/>
    <col min="26" max="26" width="71.85546875" style="2" bestFit="1" customWidth="1"/>
    <col min="27" max="16384" width="9" style="2"/>
  </cols>
  <sheetData>
    <row r="1" spans="2:24" ht="15.75" thickBot="1" x14ac:dyDescent="0.3"/>
    <row r="2" spans="2:24" x14ac:dyDescent="0.25">
      <c r="B2" s="130"/>
      <c r="C2" s="193">
        <f>Financials!D7</f>
        <v>2016</v>
      </c>
      <c r="D2" s="193">
        <f>Financials!E7</f>
        <v>2017</v>
      </c>
      <c r="E2" s="193">
        <f>Financials!F7</f>
        <v>2018</v>
      </c>
      <c r="F2" s="193">
        <f>Financials!G7</f>
        <v>2019</v>
      </c>
      <c r="G2" s="193">
        <f>Financials!H7</f>
        <v>2020</v>
      </c>
      <c r="H2" s="193">
        <f>Financials!I7</f>
        <v>2021</v>
      </c>
      <c r="I2" s="193">
        <f>Financials!J7</f>
        <v>2022</v>
      </c>
      <c r="J2" s="193">
        <f>Financials!K7</f>
        <v>2023</v>
      </c>
      <c r="K2" s="193">
        <f>Financials!L7</f>
        <v>2024</v>
      </c>
      <c r="L2" s="194">
        <f>Financials!M7</f>
        <v>2025</v>
      </c>
      <c r="O2" s="2" t="s">
        <v>77</v>
      </c>
    </row>
    <row r="3" spans="2:24" x14ac:dyDescent="0.25">
      <c r="B3" s="131"/>
      <c r="H3" s="195"/>
      <c r="I3" s="195"/>
      <c r="J3" s="195"/>
      <c r="K3" s="195"/>
      <c r="L3" s="132"/>
      <c r="O3" s="8" t="s">
        <v>78</v>
      </c>
      <c r="P3" s="8"/>
      <c r="Q3" s="8" t="str">
        <f>Financials!B2 &amp; " "&amp; "("&amp;Financials!B8&amp; ") - Enterprise Value (EV)"</f>
        <v>Company name (Company symbol) - Enterprise Value (EV)</v>
      </c>
      <c r="R3" s="8"/>
      <c r="S3" s="8"/>
      <c r="T3" s="8"/>
      <c r="U3" s="8"/>
      <c r="V3" s="8"/>
      <c r="W3" s="8"/>
      <c r="X3" s="8"/>
    </row>
    <row r="4" spans="2:24" x14ac:dyDescent="0.25">
      <c r="B4" s="226" t="s">
        <v>69</v>
      </c>
      <c r="C4" s="227">
        <f>Financials!D138</f>
        <v>0</v>
      </c>
      <c r="D4" s="227">
        <f>Financials!E138</f>
        <v>0</v>
      </c>
      <c r="E4" s="227">
        <f>Financials!F138</f>
        <v>0</v>
      </c>
      <c r="F4" s="227">
        <f>Financials!G138</f>
        <v>0</v>
      </c>
      <c r="G4" s="227">
        <f>Financials!H138</f>
        <v>0</v>
      </c>
      <c r="H4" s="227">
        <f>Financials!I138</f>
        <v>0</v>
      </c>
      <c r="I4" s="227">
        <f>Financials!J138</f>
        <v>0</v>
      </c>
      <c r="J4" s="227">
        <f>Financials!K138</f>
        <v>0</v>
      </c>
      <c r="K4" s="227">
        <f>Financials!L138</f>
        <v>0</v>
      </c>
      <c r="L4" s="298">
        <f>Financials!M138</f>
        <v>0</v>
      </c>
      <c r="O4" s="8" t="s">
        <v>83</v>
      </c>
      <c r="P4" s="8"/>
      <c r="Q4" s="8" t="str">
        <f>Financials!B2 &amp; " "&amp; "("&amp;Financials!B8&amp; ") - Earnings Power Value (EPV)"</f>
        <v>Company name (Company symbol) - Earnings Power Value (EPV)</v>
      </c>
      <c r="R4" s="8"/>
      <c r="S4" s="8"/>
      <c r="T4" s="8"/>
      <c r="U4" s="8"/>
      <c r="V4" s="8"/>
      <c r="W4" s="8"/>
      <c r="X4" s="8"/>
    </row>
    <row r="5" spans="2:24" ht="17.25" x14ac:dyDescent="0.4">
      <c r="B5" s="256" t="s">
        <v>101</v>
      </c>
      <c r="C5" s="228" t="e">
        <f>Financials!D139</f>
        <v>#DIV/0!</v>
      </c>
      <c r="D5" s="228" t="e">
        <f>Financials!E139</f>
        <v>#DIV/0!</v>
      </c>
      <c r="E5" s="228" t="e">
        <f>Financials!F139</f>
        <v>#DIV/0!</v>
      </c>
      <c r="F5" s="228" t="e">
        <f>Financials!G139</f>
        <v>#DIV/0!</v>
      </c>
      <c r="G5" s="228" t="e">
        <f>Financials!H139</f>
        <v>#DIV/0!</v>
      </c>
      <c r="H5" s="228" t="e">
        <f>Financials!I139</f>
        <v>#DIV/0!</v>
      </c>
      <c r="I5" s="228" t="e">
        <f>Financials!J139</f>
        <v>#DIV/0!</v>
      </c>
      <c r="J5" s="228" t="e">
        <f>Financials!K139</f>
        <v>#DIV/0!</v>
      </c>
      <c r="K5" s="228" t="e">
        <f>Financials!L139</f>
        <v>#DIV/0!</v>
      </c>
      <c r="L5" s="299" t="e">
        <f>Financials!M139</f>
        <v>#DIV/0!</v>
      </c>
      <c r="O5" s="8" t="s">
        <v>79</v>
      </c>
      <c r="P5" s="8"/>
      <c r="Q5" s="8" t="str">
        <f>Financials!B2 &amp; " "&amp; "("&amp;Financials!B8&amp; ") - Earnings Power Value (EPV) (Percentage of EV)"</f>
        <v>Company name (Company symbol) - Earnings Power Value (EPV) (Percentage of EV)</v>
      </c>
      <c r="R5" s="8"/>
      <c r="S5" s="8"/>
      <c r="T5" s="8"/>
      <c r="U5" s="8"/>
      <c r="V5" s="8"/>
      <c r="W5" s="8"/>
      <c r="X5" s="8"/>
    </row>
    <row r="6" spans="2:24" x14ac:dyDescent="0.25">
      <c r="B6" s="234" t="s">
        <v>6</v>
      </c>
      <c r="C6" s="235" t="e">
        <f>Financials!D140</f>
        <v>#DIV/0!</v>
      </c>
      <c r="D6" s="235" t="e">
        <f>Financials!E140</f>
        <v>#DIV/0!</v>
      </c>
      <c r="E6" s="235" t="e">
        <f>Financials!F140</f>
        <v>#DIV/0!</v>
      </c>
      <c r="F6" s="235" t="e">
        <f>Financials!G140</f>
        <v>#DIV/0!</v>
      </c>
      <c r="G6" s="235" t="e">
        <f>Financials!H140</f>
        <v>#DIV/0!</v>
      </c>
      <c r="H6" s="235" t="e">
        <f>Financials!I140</f>
        <v>#DIV/0!</v>
      </c>
      <c r="I6" s="235" t="e">
        <f>Financials!J140</f>
        <v>#DIV/0!</v>
      </c>
      <c r="J6" s="235" t="e">
        <f>Financials!K140</f>
        <v>#DIV/0!</v>
      </c>
      <c r="K6" s="235" t="e">
        <f>Financials!L140</f>
        <v>#DIV/0!</v>
      </c>
      <c r="L6" s="300" t="e">
        <f>Financials!M140</f>
        <v>#DIV/0!</v>
      </c>
      <c r="O6" s="153" t="s">
        <v>84</v>
      </c>
      <c r="P6" s="153"/>
      <c r="Q6" s="153" t="str">
        <f>Financials!B2 &amp; " "&amp; "("&amp;Financials!B8&amp; ") - Market-Implied Value of NOPAT Growth"</f>
        <v>Company name (Company symbol) - Market-Implied Value of NOPAT Growth</v>
      </c>
      <c r="R6" s="153"/>
      <c r="S6" s="153"/>
      <c r="T6" s="153"/>
      <c r="U6" s="153"/>
      <c r="V6" s="153"/>
      <c r="W6" s="153"/>
      <c r="X6" s="153"/>
    </row>
    <row r="7" spans="2:24" x14ac:dyDescent="0.25">
      <c r="B7" s="229" t="s">
        <v>72</v>
      </c>
      <c r="C7" s="230" t="e">
        <f>Financials!D142</f>
        <v>#DIV/0!</v>
      </c>
      <c r="D7" s="230" t="e">
        <f>Financials!E142</f>
        <v>#DIV/0!</v>
      </c>
      <c r="E7" s="230" t="e">
        <f>Financials!F142</f>
        <v>#DIV/0!</v>
      </c>
      <c r="F7" s="230" t="e">
        <f>Financials!G142</f>
        <v>#DIV/0!</v>
      </c>
      <c r="G7" s="230" t="e">
        <f>Financials!H142</f>
        <v>#DIV/0!</v>
      </c>
      <c r="H7" s="230" t="e">
        <f>Financials!I142</f>
        <v>#DIV/0!</v>
      </c>
      <c r="I7" s="230" t="e">
        <f>Financials!J142</f>
        <v>#DIV/0!</v>
      </c>
      <c r="J7" s="230" t="e">
        <f>Financials!K142</f>
        <v>#DIV/0!</v>
      </c>
      <c r="K7" s="230" t="e">
        <f>Financials!L142</f>
        <v>#DIV/0!</v>
      </c>
      <c r="L7" s="301" t="e">
        <f>Financials!M142</f>
        <v>#DIV/0!</v>
      </c>
      <c r="O7" s="153" t="s">
        <v>80</v>
      </c>
      <c r="P7" s="153"/>
      <c r="Q7" s="153" t="str">
        <f>Financials!B2 &amp; " "&amp; "("&amp;Financials!B8&amp; ") - Historical Valuation in US Thousands"</f>
        <v>Company name (Company symbol) - Historical Valuation in US Thousands</v>
      </c>
      <c r="R7" s="153"/>
      <c r="S7" s="153"/>
      <c r="T7" s="153"/>
      <c r="U7" s="153"/>
      <c r="V7" s="153"/>
      <c r="W7" s="153"/>
      <c r="X7" s="153"/>
    </row>
    <row r="8" spans="2:24" ht="15.75" thickBot="1" x14ac:dyDescent="0.3">
      <c r="B8" s="133" t="s">
        <v>71</v>
      </c>
      <c r="C8" s="134">
        <f>Financials!D143</f>
        <v>0</v>
      </c>
      <c r="D8" s="134">
        <f>Financials!E143</f>
        <v>0</v>
      </c>
      <c r="E8" s="134">
        <f>Financials!F143</f>
        <v>0</v>
      </c>
      <c r="F8" s="134">
        <f>Financials!G143</f>
        <v>0</v>
      </c>
      <c r="G8" s="134">
        <f>Financials!H143</f>
        <v>0</v>
      </c>
      <c r="H8" s="134">
        <f>Financials!I143</f>
        <v>0</v>
      </c>
      <c r="I8" s="134">
        <f>Financials!J143</f>
        <v>0</v>
      </c>
      <c r="J8" s="134">
        <f>Financials!K143</f>
        <v>0</v>
      </c>
      <c r="K8" s="134">
        <f>Financials!L143</f>
        <v>0</v>
      </c>
      <c r="L8" s="135">
        <f>Financials!M143</f>
        <v>0</v>
      </c>
      <c r="O8" s="154" t="s">
        <v>85</v>
      </c>
      <c r="P8" s="154"/>
      <c r="Q8" s="154" t="str">
        <f>Financials!B2 &amp; " "&amp; "("&amp;Financials!B8&amp; ") - Market-Implied Value of NOPAT Growth"</f>
        <v>Company name (Company symbol) - Market-Implied Value of NOPAT Growth</v>
      </c>
      <c r="R8" s="154"/>
      <c r="S8" s="154"/>
      <c r="T8" s="154"/>
      <c r="U8" s="154"/>
      <c r="V8" s="154"/>
      <c r="W8" s="154"/>
      <c r="X8" s="154"/>
    </row>
    <row r="9" spans="2:24" ht="15.75" thickBot="1" x14ac:dyDescent="0.3">
      <c r="O9" s="154" t="s">
        <v>82</v>
      </c>
      <c r="P9" s="154"/>
      <c r="Q9" s="154" t="str">
        <f>Financials!B2 &amp; " "&amp; "("&amp;Financials!B8&amp; ") - Market-Implied Value of NOPAT Growth (Percentage of EV)"</f>
        <v>Company name (Company symbol) - Market-Implied Value of NOPAT Growth (Percentage of EV)</v>
      </c>
      <c r="R9" s="154"/>
      <c r="S9" s="154"/>
      <c r="T9" s="154"/>
      <c r="U9" s="154"/>
      <c r="V9" s="154"/>
      <c r="W9" s="154"/>
      <c r="X9" s="154"/>
    </row>
    <row r="10" spans="2:24" x14ac:dyDescent="0.25">
      <c r="B10" s="231" t="s">
        <v>72</v>
      </c>
      <c r="C10" s="232" t="e">
        <f>C7/C8</f>
        <v>#DIV/0!</v>
      </c>
      <c r="D10" s="232" t="e">
        <f t="shared" ref="D10:H10" si="0">D7/D8</f>
        <v>#DIV/0!</v>
      </c>
      <c r="E10" s="232" t="e">
        <f t="shared" si="0"/>
        <v>#DIV/0!</v>
      </c>
      <c r="F10" s="232" t="e">
        <f t="shared" si="0"/>
        <v>#DIV/0!</v>
      </c>
      <c r="G10" s="232" t="e">
        <f t="shared" si="0"/>
        <v>#DIV/0!</v>
      </c>
      <c r="H10" s="232" t="e">
        <f t="shared" si="0"/>
        <v>#DIV/0!</v>
      </c>
      <c r="I10" s="232" t="e">
        <f t="shared" ref="I10:J10" si="1">I7/I8</f>
        <v>#DIV/0!</v>
      </c>
      <c r="J10" s="232" t="e">
        <f t="shared" si="1"/>
        <v>#DIV/0!</v>
      </c>
      <c r="K10" s="232" t="e">
        <f t="shared" ref="K10" si="2">K7/K8</f>
        <v>#DIV/0!</v>
      </c>
      <c r="L10" s="233" t="e">
        <f>L7/L8</f>
        <v>#DIV/0!</v>
      </c>
    </row>
    <row r="11" spans="2:24" ht="15.75" thickBot="1" x14ac:dyDescent="0.3">
      <c r="B11" s="236" t="s">
        <v>6</v>
      </c>
      <c r="C11" s="237" t="e">
        <f>C6/C8</f>
        <v>#DIV/0!</v>
      </c>
      <c r="D11" s="237" t="e">
        <f t="shared" ref="D11:H11" si="3">D6/D8</f>
        <v>#DIV/0!</v>
      </c>
      <c r="E11" s="237" t="e">
        <f t="shared" si="3"/>
        <v>#DIV/0!</v>
      </c>
      <c r="F11" s="237" t="e">
        <f t="shared" si="3"/>
        <v>#DIV/0!</v>
      </c>
      <c r="G11" s="237" t="e">
        <f t="shared" si="3"/>
        <v>#DIV/0!</v>
      </c>
      <c r="H11" s="237" t="e">
        <f t="shared" si="3"/>
        <v>#DIV/0!</v>
      </c>
      <c r="I11" s="237" t="e">
        <f t="shared" ref="I11:J11" si="4">I6/I8</f>
        <v>#DIV/0!</v>
      </c>
      <c r="J11" s="237" t="e">
        <f t="shared" si="4"/>
        <v>#DIV/0!</v>
      </c>
      <c r="K11" s="237" t="e">
        <f t="shared" ref="K11" si="5">K6/K8</f>
        <v>#DIV/0!</v>
      </c>
      <c r="L11" s="238" t="e">
        <f t="shared" ref="L11" si="6">L6/L8</f>
        <v>#DIV/0!</v>
      </c>
    </row>
    <row r="13" spans="2:24" x14ac:dyDescent="0.25">
      <c r="C13" s="2">
        <f>+C2</f>
        <v>2016</v>
      </c>
      <c r="D13" s="2">
        <f t="shared" ref="D13:L13" si="7">+D2</f>
        <v>2017</v>
      </c>
      <c r="E13" s="2">
        <f t="shared" si="7"/>
        <v>2018</v>
      </c>
      <c r="F13" s="2">
        <f t="shared" si="7"/>
        <v>2019</v>
      </c>
      <c r="G13" s="2">
        <f t="shared" si="7"/>
        <v>2020</v>
      </c>
      <c r="H13" s="2">
        <f t="shared" si="7"/>
        <v>2021</v>
      </c>
      <c r="I13" s="2">
        <f t="shared" si="7"/>
        <v>2022</v>
      </c>
      <c r="J13" s="2">
        <f t="shared" si="7"/>
        <v>2023</v>
      </c>
      <c r="K13" s="2">
        <f t="shared" ref="K13" si="8">+K2</f>
        <v>2024</v>
      </c>
      <c r="L13" s="90">
        <f t="shared" si="7"/>
        <v>2025</v>
      </c>
    </row>
    <row r="14" spans="2:24" x14ac:dyDescent="0.25">
      <c r="B14" s="271" t="s">
        <v>102</v>
      </c>
      <c r="C14" s="159">
        <f>+Financials!D31</f>
        <v>0</v>
      </c>
      <c r="D14" s="159">
        <f>+Financials!E31</f>
        <v>0</v>
      </c>
      <c r="E14" s="159">
        <f>+Financials!F31</f>
        <v>0</v>
      </c>
      <c r="F14" s="159">
        <f>+Financials!G31</f>
        <v>0</v>
      </c>
      <c r="G14" s="159">
        <f>+Financials!H31</f>
        <v>0</v>
      </c>
      <c r="H14" s="159">
        <f>+Financials!I31</f>
        <v>0</v>
      </c>
      <c r="I14" s="159">
        <f>+Financials!J31</f>
        <v>0</v>
      </c>
      <c r="J14" s="159">
        <f>+Financials!K31</f>
        <v>0</v>
      </c>
      <c r="K14" s="159">
        <f>+Financials!L31</f>
        <v>0</v>
      </c>
      <c r="L14" s="159">
        <f>+Financials!M31</f>
        <v>0</v>
      </c>
    </row>
    <row r="15" spans="2:24" x14ac:dyDescent="0.25">
      <c r="B15" s="271" t="s">
        <v>105</v>
      </c>
      <c r="C15" s="110" t="e">
        <f>+Financials!D39</f>
        <v>#DIV/0!</v>
      </c>
      <c r="D15" s="110" t="e">
        <f>+Financials!E39</f>
        <v>#DIV/0!</v>
      </c>
      <c r="E15" s="110" t="e">
        <f>+Financials!F39</f>
        <v>#DIV/0!</v>
      </c>
      <c r="F15" s="110" t="e">
        <f>+Financials!G39</f>
        <v>#DIV/0!</v>
      </c>
      <c r="G15" s="110" t="e">
        <f>+Financials!H39</f>
        <v>#DIV/0!</v>
      </c>
      <c r="H15" s="110" t="e">
        <f>+Financials!I39</f>
        <v>#DIV/0!</v>
      </c>
      <c r="I15" s="110" t="e">
        <f>+Financials!J39</f>
        <v>#DIV/0!</v>
      </c>
      <c r="J15" s="110" t="e">
        <f>+Financials!K39</f>
        <v>#DIV/0!</v>
      </c>
      <c r="K15" s="110" t="e">
        <f>+Financials!L39</f>
        <v>#DIV/0!</v>
      </c>
      <c r="L15" s="110" t="e">
        <f>+Financials!M39</f>
        <v>#DIV/0!</v>
      </c>
    </row>
    <row r="17" spans="2:8" x14ac:dyDescent="0.25">
      <c r="B17" s="149"/>
      <c r="C17" s="145"/>
      <c r="D17" s="145"/>
      <c r="E17" s="145"/>
      <c r="F17" s="145"/>
      <c r="G17" s="145"/>
      <c r="H17" s="145"/>
    </row>
    <row r="18" spans="2:8" ht="17.25" x14ac:dyDescent="0.4">
      <c r="B18" s="150"/>
      <c r="C18" s="146"/>
      <c r="D18" s="146"/>
      <c r="E18" s="146"/>
      <c r="F18" s="146"/>
      <c r="G18" s="146"/>
      <c r="H18" s="146"/>
    </row>
    <row r="19" spans="2:8" x14ac:dyDescent="0.25">
      <c r="B19" s="150"/>
      <c r="C19" s="147"/>
      <c r="D19" s="147"/>
      <c r="E19" s="147"/>
      <c r="F19" s="147"/>
      <c r="G19" s="147"/>
      <c r="H19" s="147"/>
    </row>
    <row r="20" spans="2:8" x14ac:dyDescent="0.25">
      <c r="B20" s="150"/>
      <c r="C20" s="148"/>
      <c r="D20" s="148"/>
      <c r="E20" s="148"/>
      <c r="F20" s="148"/>
      <c r="G20" s="148"/>
      <c r="H20" s="148"/>
    </row>
    <row r="21" spans="2:8" x14ac:dyDescent="0.25">
      <c r="B21" s="151"/>
      <c r="C21" s="145"/>
      <c r="D21" s="145"/>
      <c r="E21" s="145"/>
      <c r="F21" s="145"/>
      <c r="G21" s="145"/>
      <c r="H21" s="145"/>
    </row>
    <row r="24" spans="2:8" x14ac:dyDescent="0.25">
      <c r="C24" s="35"/>
      <c r="D24" s="35"/>
      <c r="E24" s="35"/>
      <c r="F24" s="35"/>
      <c r="G24" s="35"/>
      <c r="H24" s="35"/>
    </row>
    <row r="26" spans="2:8" x14ac:dyDescent="0.25">
      <c r="B26" s="149"/>
      <c r="C26" s="145"/>
      <c r="D26" s="145"/>
      <c r="E26" s="145"/>
      <c r="F26" s="145"/>
      <c r="G26" s="145"/>
      <c r="H26" s="145"/>
    </row>
    <row r="27" spans="2:8" ht="17.25" x14ac:dyDescent="0.4">
      <c r="B27" s="150"/>
      <c r="C27" s="146"/>
      <c r="D27" s="146"/>
      <c r="E27" s="146"/>
      <c r="F27" s="146"/>
      <c r="G27" s="146"/>
      <c r="H27" s="146"/>
    </row>
    <row r="28" spans="2:8" x14ac:dyDescent="0.25">
      <c r="B28" s="150"/>
      <c r="C28" s="147"/>
      <c r="D28" s="147"/>
      <c r="E28" s="147"/>
      <c r="F28" s="147"/>
      <c r="G28" s="147"/>
      <c r="H28" s="147"/>
    </row>
    <row r="29" spans="2:8" x14ac:dyDescent="0.25">
      <c r="B29" s="150"/>
      <c r="C29" s="148"/>
      <c r="D29" s="148"/>
      <c r="E29" s="148"/>
      <c r="F29" s="148"/>
      <c r="G29" s="148"/>
      <c r="H29" s="148"/>
    </row>
    <row r="30" spans="2:8" x14ac:dyDescent="0.25">
      <c r="B30" s="151"/>
      <c r="C30" s="145"/>
      <c r="D30" s="145"/>
      <c r="E30" s="145"/>
      <c r="F30" s="145"/>
      <c r="G30" s="145"/>
      <c r="H30" s="145"/>
    </row>
    <row r="33" spans="2:8" x14ac:dyDescent="0.25">
      <c r="C33" s="35"/>
      <c r="D33" s="35"/>
      <c r="E33" s="35"/>
      <c r="F33" s="35"/>
      <c r="G33" s="35"/>
      <c r="H33" s="35"/>
    </row>
    <row r="35" spans="2:8" x14ac:dyDescent="0.25">
      <c r="B35" s="149"/>
      <c r="C35" s="145"/>
      <c r="D35" s="145"/>
      <c r="E35" s="145"/>
      <c r="F35" s="145"/>
      <c r="G35" s="145"/>
      <c r="H35" s="145"/>
    </row>
    <row r="36" spans="2:8" ht="17.25" x14ac:dyDescent="0.4">
      <c r="B36" s="150"/>
      <c r="C36" s="146"/>
      <c r="D36" s="146"/>
      <c r="E36" s="146"/>
      <c r="F36" s="146"/>
      <c r="G36" s="146"/>
      <c r="H36" s="146"/>
    </row>
    <row r="37" spans="2:8" x14ac:dyDescent="0.25">
      <c r="B37" s="150"/>
      <c r="C37" s="147"/>
      <c r="D37" s="147"/>
      <c r="E37" s="147"/>
      <c r="F37" s="147"/>
      <c r="G37" s="147"/>
      <c r="H37" s="147"/>
    </row>
    <row r="38" spans="2:8" x14ac:dyDescent="0.25">
      <c r="B38" s="150"/>
      <c r="C38" s="148"/>
      <c r="D38" s="148"/>
      <c r="E38" s="148"/>
      <c r="F38" s="148"/>
      <c r="G38" s="148"/>
      <c r="H38" s="148"/>
    </row>
    <row r="39" spans="2:8" x14ac:dyDescent="0.25">
      <c r="B39" s="151"/>
      <c r="C39" s="145"/>
      <c r="D39" s="145"/>
      <c r="E39" s="145"/>
      <c r="F39" s="145"/>
      <c r="G39" s="145"/>
      <c r="H39" s="145"/>
    </row>
    <row r="40" spans="2:8" x14ac:dyDescent="0.25">
      <c r="C40" s="136"/>
      <c r="D40" s="136"/>
      <c r="E40" s="136"/>
      <c r="F40" s="136"/>
      <c r="G40" s="136"/>
      <c r="H40" s="136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E6ABA-C924-4D1E-B734-B100DD59918A}">
  <dimension ref="B2:L21"/>
  <sheetViews>
    <sheetView showGridLines="0" zoomScale="87" zoomScaleNormal="87" workbookViewId="0">
      <selection activeCell="O10" sqref="O10"/>
    </sheetView>
  </sheetViews>
  <sheetFormatPr defaultColWidth="9" defaultRowHeight="15" x14ac:dyDescent="0.25"/>
  <cols>
    <col min="1" max="1" width="9" style="2"/>
    <col min="2" max="2" width="15.85546875" style="2" customWidth="1"/>
    <col min="3" max="3" width="10.7109375" style="2" bestFit="1" customWidth="1"/>
    <col min="4" max="8" width="10.5703125" style="2" bestFit="1" customWidth="1"/>
    <col min="9" max="16384" width="9" style="2"/>
  </cols>
  <sheetData>
    <row r="2" spans="2:12" x14ac:dyDescent="0.25">
      <c r="B2" s="172"/>
      <c r="C2" s="173">
        <f>Financials!D116</f>
        <v>2016</v>
      </c>
      <c r="D2" s="173">
        <f>Financials!E116</f>
        <v>2017</v>
      </c>
      <c r="E2" s="173">
        <f>Financials!F116</f>
        <v>2018</v>
      </c>
      <c r="F2" s="173">
        <f>Financials!G116</f>
        <v>2019</v>
      </c>
      <c r="G2" s="173">
        <f>Financials!H116</f>
        <v>2020</v>
      </c>
      <c r="H2" s="173">
        <f>Financials!I116</f>
        <v>2021</v>
      </c>
      <c r="I2" s="173">
        <f>Financials!J116</f>
        <v>2022</v>
      </c>
      <c r="J2" s="173">
        <f>Financials!K116</f>
        <v>2023</v>
      </c>
      <c r="K2" s="173">
        <f>Financials!L116</f>
        <v>2024</v>
      </c>
      <c r="L2" s="174">
        <f>Financials!M116</f>
        <v>2025</v>
      </c>
    </row>
    <row r="3" spans="2:12" x14ac:dyDescent="0.25">
      <c r="B3" s="138" t="s">
        <v>68</v>
      </c>
      <c r="C3" s="142" t="e">
        <f>Financials!D133</f>
        <v>#DIV/0!</v>
      </c>
      <c r="D3" s="142" t="e">
        <f>Financials!E133</f>
        <v>#DIV/0!</v>
      </c>
      <c r="E3" s="142" t="e">
        <f>Financials!F133</f>
        <v>#DIV/0!</v>
      </c>
      <c r="F3" s="142" t="e">
        <f>Financials!G133</f>
        <v>#DIV/0!</v>
      </c>
      <c r="G3" s="142" t="e">
        <f>Financials!H133</f>
        <v>#DIV/0!</v>
      </c>
      <c r="H3" s="142" t="e">
        <f>Financials!I133</f>
        <v>#DIV/0!</v>
      </c>
      <c r="I3" s="142" t="e">
        <f>Financials!J133</f>
        <v>#DIV/0!</v>
      </c>
      <c r="J3" s="142" t="e">
        <f>Financials!K133</f>
        <v>#DIV/0!</v>
      </c>
      <c r="K3" s="142" t="e">
        <f>Financials!L133</f>
        <v>#DIV/0!</v>
      </c>
      <c r="L3" s="143" t="e">
        <f>Financials!M133</f>
        <v>#DIV/0!</v>
      </c>
    </row>
    <row r="5" spans="2:12" x14ac:dyDescent="0.25">
      <c r="B5" s="172"/>
      <c r="C5" s="173">
        <f>Financials!D116</f>
        <v>2016</v>
      </c>
      <c r="D5" s="173">
        <f>Financials!E116</f>
        <v>2017</v>
      </c>
      <c r="E5" s="173">
        <f>Financials!F116</f>
        <v>2018</v>
      </c>
      <c r="F5" s="173">
        <f>Financials!G116</f>
        <v>2019</v>
      </c>
      <c r="G5" s="173">
        <f>Financials!H116</f>
        <v>2020</v>
      </c>
      <c r="H5" s="173">
        <f>Financials!I116</f>
        <v>2021</v>
      </c>
      <c r="I5" s="173">
        <f>Financials!J116</f>
        <v>2022</v>
      </c>
      <c r="J5" s="173">
        <f>Financials!K116</f>
        <v>2023</v>
      </c>
      <c r="K5" s="173">
        <f>Financials!L116</f>
        <v>2024</v>
      </c>
      <c r="L5" s="174">
        <f>Financials!M116</f>
        <v>2025</v>
      </c>
    </row>
    <row r="6" spans="2:12" x14ac:dyDescent="0.25">
      <c r="B6" s="139" t="s">
        <v>68</v>
      </c>
      <c r="C6" s="140" t="e">
        <f>C3</f>
        <v>#DIV/0!</v>
      </c>
      <c r="D6" s="140" t="e">
        <f t="shared" ref="D6:H6" si="0">D3</f>
        <v>#DIV/0!</v>
      </c>
      <c r="E6" s="140" t="e">
        <f t="shared" si="0"/>
        <v>#DIV/0!</v>
      </c>
      <c r="F6" s="140" t="e">
        <f t="shared" si="0"/>
        <v>#DIV/0!</v>
      </c>
      <c r="G6" s="140" t="e">
        <f t="shared" si="0"/>
        <v>#DIV/0!</v>
      </c>
      <c r="H6" s="140" t="e">
        <f t="shared" si="0"/>
        <v>#DIV/0!</v>
      </c>
      <c r="I6" s="140" t="e">
        <f t="shared" ref="I6:J6" si="1">I3</f>
        <v>#DIV/0!</v>
      </c>
      <c r="J6" s="140" t="e">
        <f t="shared" si="1"/>
        <v>#DIV/0!</v>
      </c>
      <c r="K6" s="140" t="e">
        <f t="shared" ref="K6" si="2">K3</f>
        <v>#DIV/0!</v>
      </c>
      <c r="L6" s="141" t="e">
        <f t="shared" ref="L6" si="3">L3</f>
        <v>#DIV/0!</v>
      </c>
    </row>
    <row r="7" spans="2:12" x14ac:dyDescent="0.25">
      <c r="B7" s="175" t="s">
        <v>100</v>
      </c>
      <c r="C7" s="176">
        <v>0.1</v>
      </c>
      <c r="D7" s="176">
        <f>Financials!E134</f>
        <v>0.1</v>
      </c>
      <c r="E7" s="176">
        <f>Financials!F134</f>
        <v>0.1</v>
      </c>
      <c r="F7" s="176">
        <f>Financials!G134</f>
        <v>0.1</v>
      </c>
      <c r="G7" s="176">
        <f>Financials!H134</f>
        <v>0.1</v>
      </c>
      <c r="H7" s="176">
        <f>Financials!I134</f>
        <v>0.1</v>
      </c>
      <c r="I7" s="176">
        <f>Financials!J134</f>
        <v>0.1</v>
      </c>
      <c r="J7" s="176">
        <f>Financials!K134</f>
        <v>0.1</v>
      </c>
      <c r="K7" s="176">
        <f>Financials!L134</f>
        <v>0.1</v>
      </c>
      <c r="L7" s="177">
        <v>0.1</v>
      </c>
    </row>
    <row r="8" spans="2:12" x14ac:dyDescent="0.25">
      <c r="B8" s="197"/>
      <c r="C8" s="198"/>
      <c r="D8" s="198"/>
      <c r="E8" s="198"/>
      <c r="F8" s="198"/>
      <c r="G8" s="198"/>
      <c r="H8" s="198"/>
      <c r="I8" s="198"/>
    </row>
    <row r="9" spans="2:12" x14ac:dyDescent="0.25">
      <c r="B9" s="172"/>
      <c r="C9" s="173">
        <f>+C2</f>
        <v>2016</v>
      </c>
      <c r="D9" s="173">
        <f t="shared" ref="D9:L9" si="4">+D2</f>
        <v>2017</v>
      </c>
      <c r="E9" s="173">
        <f t="shared" si="4"/>
        <v>2018</v>
      </c>
      <c r="F9" s="173">
        <f t="shared" si="4"/>
        <v>2019</v>
      </c>
      <c r="G9" s="173">
        <f t="shared" si="4"/>
        <v>2020</v>
      </c>
      <c r="H9" s="173">
        <f t="shared" si="4"/>
        <v>2021</v>
      </c>
      <c r="I9" s="173">
        <f t="shared" si="4"/>
        <v>2022</v>
      </c>
      <c r="J9" s="173">
        <f t="shared" si="4"/>
        <v>2023</v>
      </c>
      <c r="K9" s="173">
        <f t="shared" ref="K9" si="5">+K2</f>
        <v>2024</v>
      </c>
      <c r="L9" s="174">
        <f t="shared" si="4"/>
        <v>2025</v>
      </c>
    </row>
    <row r="10" spans="2:12" x14ac:dyDescent="0.25">
      <c r="B10" s="264" t="s">
        <v>103</v>
      </c>
      <c r="C10" s="267" t="e">
        <f>+Financials!D124</f>
        <v>#DIV/0!</v>
      </c>
      <c r="D10" s="267" t="e">
        <f>+Financials!E124</f>
        <v>#DIV/0!</v>
      </c>
      <c r="E10" s="267" t="e">
        <f>+Financials!F124</f>
        <v>#DIV/0!</v>
      </c>
      <c r="F10" s="267" t="e">
        <f>+Financials!G124</f>
        <v>#DIV/0!</v>
      </c>
      <c r="G10" s="267" t="e">
        <f>+Financials!H124</f>
        <v>#DIV/0!</v>
      </c>
      <c r="H10" s="267" t="e">
        <f>+Financials!I124</f>
        <v>#DIV/0!</v>
      </c>
      <c r="I10" s="267" t="e">
        <f>+Financials!J124</f>
        <v>#DIV/0!</v>
      </c>
      <c r="J10" s="267" t="e">
        <f>+Financials!K124</f>
        <v>#DIV/0!</v>
      </c>
      <c r="K10" s="267" t="e">
        <f>+Financials!L124</f>
        <v>#DIV/0!</v>
      </c>
      <c r="L10" s="268" t="e">
        <f>+Financials!M124</f>
        <v>#DIV/0!</v>
      </c>
    </row>
    <row r="11" spans="2:12" x14ac:dyDescent="0.25">
      <c r="B11" s="264" t="s">
        <v>104</v>
      </c>
      <c r="C11" s="265" t="e">
        <f>+Financials!D131</f>
        <v>#DIV/0!</v>
      </c>
      <c r="D11" s="265" t="e">
        <f>+Financials!E131</f>
        <v>#DIV/0!</v>
      </c>
      <c r="E11" s="265" t="e">
        <f>+Financials!F131</f>
        <v>#DIV/0!</v>
      </c>
      <c r="F11" s="265" t="e">
        <f>+Financials!G131</f>
        <v>#DIV/0!</v>
      </c>
      <c r="G11" s="265" t="e">
        <f>+Financials!H131</f>
        <v>#DIV/0!</v>
      </c>
      <c r="H11" s="265" t="e">
        <f>+Financials!I131</f>
        <v>#DIV/0!</v>
      </c>
      <c r="I11" s="265" t="e">
        <f>+Financials!J131</f>
        <v>#DIV/0!</v>
      </c>
      <c r="J11" s="265" t="e">
        <f>+Financials!K131</f>
        <v>#DIV/0!</v>
      </c>
      <c r="K11" s="265" t="e">
        <f>+Financials!L131</f>
        <v>#DIV/0!</v>
      </c>
      <c r="L11" s="269" t="e">
        <f>+Financials!M131</f>
        <v>#DIV/0!</v>
      </c>
    </row>
    <row r="12" spans="2:12" x14ac:dyDescent="0.25">
      <c r="B12" s="175" t="s">
        <v>68</v>
      </c>
      <c r="C12" s="266" t="e">
        <f>+C10*C11</f>
        <v>#DIV/0!</v>
      </c>
      <c r="D12" s="266" t="e">
        <f t="shared" ref="D12:L12" si="6">+D10*D11</f>
        <v>#DIV/0!</v>
      </c>
      <c r="E12" s="266" t="e">
        <f t="shared" si="6"/>
        <v>#DIV/0!</v>
      </c>
      <c r="F12" s="266" t="e">
        <f t="shared" si="6"/>
        <v>#DIV/0!</v>
      </c>
      <c r="G12" s="266" t="e">
        <f t="shared" si="6"/>
        <v>#DIV/0!</v>
      </c>
      <c r="H12" s="266" t="e">
        <f t="shared" si="6"/>
        <v>#DIV/0!</v>
      </c>
      <c r="I12" s="266" t="e">
        <f t="shared" si="6"/>
        <v>#DIV/0!</v>
      </c>
      <c r="J12" s="266" t="e">
        <f t="shared" si="6"/>
        <v>#DIV/0!</v>
      </c>
      <c r="K12" s="266" t="e">
        <f t="shared" ref="K12" si="7">+K10*K11</f>
        <v>#DIV/0!</v>
      </c>
      <c r="L12" s="270" t="e">
        <f t="shared" si="6"/>
        <v>#DIV/0!</v>
      </c>
    </row>
    <row r="13" spans="2:12" x14ac:dyDescent="0.25">
      <c r="B13" s="197"/>
      <c r="C13" s="198"/>
      <c r="D13" s="198"/>
      <c r="E13" s="198"/>
      <c r="F13" s="198"/>
      <c r="G13" s="198"/>
      <c r="H13" s="198"/>
      <c r="I13" s="198"/>
    </row>
    <row r="14" spans="2:12" x14ac:dyDescent="0.25">
      <c r="B14" s="197"/>
      <c r="C14" s="201">
        <f>C5</f>
        <v>2016</v>
      </c>
      <c r="D14" s="201">
        <f t="shared" ref="D14:I14" si="8">D5</f>
        <v>2017</v>
      </c>
      <c r="E14" s="201">
        <f t="shared" si="8"/>
        <v>2018</v>
      </c>
      <c r="F14" s="201">
        <f t="shared" si="8"/>
        <v>2019</v>
      </c>
      <c r="G14" s="201">
        <f t="shared" si="8"/>
        <v>2020</v>
      </c>
      <c r="H14" s="201">
        <f t="shared" si="8"/>
        <v>2021</v>
      </c>
      <c r="I14" s="201">
        <f t="shared" si="8"/>
        <v>2022</v>
      </c>
      <c r="J14" s="11">
        <v>2022</v>
      </c>
      <c r="K14" s="11">
        <v>2023</v>
      </c>
      <c r="L14" s="94">
        <f>+L2</f>
        <v>2025</v>
      </c>
    </row>
    <row r="15" spans="2:12" x14ac:dyDescent="0.25">
      <c r="B15" s="199" t="s">
        <v>94</v>
      </c>
      <c r="C15" s="200" t="e">
        <f>Financials!D131</f>
        <v>#DIV/0!</v>
      </c>
      <c r="D15" s="200" t="e">
        <f>Financials!E131</f>
        <v>#DIV/0!</v>
      </c>
      <c r="E15" s="200" t="e">
        <f>Financials!F131</f>
        <v>#DIV/0!</v>
      </c>
      <c r="F15" s="200" t="e">
        <f>Financials!G131</f>
        <v>#DIV/0!</v>
      </c>
      <c r="G15" s="200" t="e">
        <f>Financials!H131</f>
        <v>#DIV/0!</v>
      </c>
      <c r="H15" s="200" t="e">
        <f>Financials!I131</f>
        <v>#DIV/0!</v>
      </c>
      <c r="I15" s="200" t="e">
        <f>Financials!J131</f>
        <v>#DIV/0!</v>
      </c>
      <c r="J15" s="200" t="e">
        <f>Financials!K131</f>
        <v>#DIV/0!</v>
      </c>
      <c r="K15" s="200" t="e">
        <f>Financials!L131</f>
        <v>#DIV/0!</v>
      </c>
      <c r="L15" s="200" t="e">
        <f>Financials!M131</f>
        <v>#DIV/0!</v>
      </c>
    </row>
    <row r="16" spans="2:12" x14ac:dyDescent="0.25">
      <c r="B16" s="199" t="s">
        <v>95</v>
      </c>
      <c r="C16" s="257">
        <v>2.5692396032573677</v>
      </c>
      <c r="D16" s="257">
        <v>2.5285299443311842</v>
      </c>
      <c r="E16" s="257">
        <v>2.7227110743196437</v>
      </c>
      <c r="F16" s="257">
        <v>2.7894052728809338</v>
      </c>
      <c r="G16" s="257">
        <v>1.2784166896275213</v>
      </c>
      <c r="H16" s="257">
        <v>1.2091398378461486</v>
      </c>
      <c r="I16" s="257">
        <v>1.3987814556476619</v>
      </c>
      <c r="J16" s="257">
        <v>1.567797111796156</v>
      </c>
      <c r="K16" s="257">
        <v>1.56</v>
      </c>
      <c r="L16" s="257"/>
    </row>
    <row r="17" spans="2:11" x14ac:dyDescent="0.25">
      <c r="B17" s="199" t="s">
        <v>96</v>
      </c>
      <c r="C17" s="200"/>
      <c r="D17" s="200"/>
      <c r="E17" s="200"/>
      <c r="F17" s="200"/>
      <c r="G17" s="200"/>
      <c r="H17" s="200"/>
      <c r="I17" s="200"/>
      <c r="J17" s="34"/>
      <c r="K17" s="34"/>
    </row>
    <row r="18" spans="2:11" x14ac:dyDescent="0.25">
      <c r="B18" s="199"/>
      <c r="C18" s="200"/>
      <c r="D18" s="200"/>
      <c r="E18" s="200"/>
      <c r="F18" s="200"/>
      <c r="G18" s="200"/>
      <c r="H18" s="200"/>
      <c r="I18" s="200"/>
      <c r="J18" s="34"/>
      <c r="K18" s="34"/>
    </row>
    <row r="19" spans="2:11" x14ac:dyDescent="0.25">
      <c r="B19" s="202" t="s">
        <v>97</v>
      </c>
      <c r="C19" s="200"/>
      <c r="D19" s="200"/>
      <c r="E19" s="200"/>
      <c r="F19" s="200"/>
      <c r="G19" s="200"/>
      <c r="H19" s="200"/>
      <c r="I19" s="200"/>
      <c r="J19" s="34"/>
      <c r="K19" s="34"/>
    </row>
    <row r="20" spans="2:11" x14ac:dyDescent="0.25">
      <c r="B20" s="202" t="s">
        <v>98</v>
      </c>
      <c r="C20" s="198"/>
      <c r="D20" s="198"/>
      <c r="E20" s="198"/>
      <c r="F20" s="198"/>
      <c r="G20" s="198"/>
      <c r="H20" s="198"/>
      <c r="I20" s="198"/>
    </row>
    <row r="21" spans="2:11" x14ac:dyDescent="0.25">
      <c r="B21" s="202" t="s">
        <v>99</v>
      </c>
      <c r="C21" s="198">
        <v>0.28941486640695707</v>
      </c>
      <c r="D21" s="198">
        <v>0.31758661305389707</v>
      </c>
      <c r="E21" s="198">
        <v>0.36763159278540253</v>
      </c>
      <c r="F21" s="198">
        <v>0.40607962216399557</v>
      </c>
      <c r="G21" s="198">
        <v>0.41892119600831296</v>
      </c>
      <c r="H21" s="198">
        <v>0.38130342881537699</v>
      </c>
      <c r="I21" s="198">
        <v>0.44593913766153248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Financials</vt:lpstr>
      <vt:lpstr>Charts</vt:lpstr>
      <vt:lpstr>Call-out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Alec Lucas</dc:creator>
  <cp:lastModifiedBy>Paul Johnson</cp:lastModifiedBy>
  <dcterms:created xsi:type="dcterms:W3CDTF">2020-06-15T14:02:05Z</dcterms:created>
  <dcterms:modified xsi:type="dcterms:W3CDTF">2026-10-10T10:42:30Z</dcterms:modified>
</cp:coreProperties>
</file>